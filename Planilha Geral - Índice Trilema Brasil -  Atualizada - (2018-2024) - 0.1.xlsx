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cos\Documents\Power BI - Base de Dados\"/>
    </mc:Choice>
  </mc:AlternateContent>
  <xr:revisionPtr revIDLastSave="0" documentId="8_{9067B172-5584-4091-A6C5-4155EC49AB5C}" xr6:coauthVersionLast="47" xr6:coauthVersionMax="47" xr10:uidLastSave="{00000000-0000-0000-0000-000000000000}"/>
  <bookViews>
    <workbookView xWindow="-120" yWindow="-120" windowWidth="29040" windowHeight="15720" activeTab="3" xr2:uid="{7A270290-A89B-4E7F-B6D4-CF02DCBD9F9A}"/>
  </bookViews>
  <sheets>
    <sheet name="Equidade Energética" sheetId="4" r:id="rId1"/>
    <sheet name="Segurança Energética" sheetId="3" r:id="rId2"/>
    <sheet name="Ambiental" sheetId="5" r:id="rId3"/>
    <sheet name="Trilema energético" sheetId="6" r:id="rId4"/>
  </sheets>
  <definedNames>
    <definedName name="_xlnm._FilterDatabase" localSheetId="2" hidden="1">Ambiental!$A$1:$O$271</definedName>
    <definedName name="_xlnm._FilterDatabase" localSheetId="0" hidden="1">'Equidade Energética'!$A$1:$O$244</definedName>
    <definedName name="_xlnm._FilterDatabase" localSheetId="1" hidden="1">'Segurança Energética'!$A$1:$O$244</definedName>
    <definedName name="_xlnm._FilterDatabase" localSheetId="3" hidden="1">'Trilema energético'!$A$1:$V$28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6" l="1"/>
  <c r="AD27" i="6"/>
  <c r="AD26" i="6"/>
  <c r="AD25" i="6"/>
  <c r="AD24" i="6"/>
  <c r="AD23" i="6"/>
  <c r="AD22" i="6"/>
  <c r="AD21" i="6"/>
  <c r="AD20" i="6"/>
  <c r="AD19" i="6"/>
  <c r="AD18" i="6"/>
  <c r="AD17" i="6"/>
  <c r="AD16" i="6"/>
  <c r="AD15" i="6"/>
  <c r="AD14" i="6"/>
  <c r="AD13" i="6"/>
  <c r="AD12" i="6"/>
  <c r="AD11" i="6"/>
  <c r="AD10" i="6"/>
  <c r="AD9" i="6"/>
  <c r="AD8" i="6"/>
  <c r="AD7" i="6"/>
  <c r="AD6" i="6"/>
  <c r="AD5" i="6"/>
  <c r="AD4" i="6"/>
  <c r="AD3" i="6"/>
  <c r="AD2" i="6"/>
  <c r="Z3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" i="6"/>
  <c r="S2" i="5"/>
  <c r="S12" i="5"/>
  <c r="S22" i="5"/>
  <c r="S32" i="5"/>
  <c r="S42" i="5"/>
  <c r="S52" i="5"/>
  <c r="S62" i="5"/>
  <c r="S72" i="5"/>
  <c r="S82" i="5"/>
  <c r="S92" i="5"/>
  <c r="S102" i="5"/>
  <c r="S112" i="5"/>
  <c r="S122" i="5"/>
  <c r="S132" i="5"/>
  <c r="S142" i="5"/>
  <c r="S152" i="5"/>
  <c r="S162" i="5"/>
  <c r="S172" i="5"/>
  <c r="S182" i="5"/>
  <c r="S192" i="5"/>
  <c r="S202" i="5"/>
  <c r="S212" i="5"/>
  <c r="S222" i="5"/>
  <c r="S232" i="5"/>
  <c r="S242" i="5"/>
  <c r="S252" i="5"/>
  <c r="S262" i="5"/>
  <c r="Q2" i="5"/>
  <c r="Q12" i="5"/>
  <c r="Q22" i="5"/>
  <c r="Q32" i="5"/>
  <c r="Q42" i="5"/>
  <c r="Q52" i="5"/>
  <c r="Q62" i="5"/>
  <c r="Q72" i="5"/>
  <c r="Q82" i="5"/>
  <c r="Q92" i="5"/>
  <c r="Q102" i="5"/>
  <c r="Q112" i="5"/>
  <c r="Q122" i="5"/>
  <c r="Q132" i="5"/>
  <c r="Q142" i="5"/>
  <c r="Q152" i="5"/>
  <c r="Q162" i="5"/>
  <c r="Q172" i="5"/>
  <c r="Q182" i="5"/>
  <c r="Q192" i="5"/>
  <c r="Q202" i="5"/>
  <c r="Q212" i="5"/>
  <c r="Q222" i="5"/>
  <c r="Q232" i="5"/>
  <c r="Q242" i="5"/>
  <c r="Q252" i="5"/>
  <c r="Q262" i="5"/>
  <c r="S11" i="3"/>
  <c r="S20" i="3"/>
  <c r="S29" i="3"/>
  <c r="S38" i="3"/>
  <c r="S47" i="3"/>
  <c r="S56" i="3"/>
  <c r="S65" i="3"/>
  <c r="S74" i="3"/>
  <c r="S83" i="3"/>
  <c r="S92" i="3"/>
  <c r="S101" i="3"/>
  <c r="S110" i="3"/>
  <c r="S119" i="3"/>
  <c r="S128" i="3"/>
  <c r="S137" i="3"/>
  <c r="S146" i="3"/>
  <c r="S155" i="3"/>
  <c r="S164" i="3"/>
  <c r="S173" i="3"/>
  <c r="S182" i="3"/>
  <c r="S191" i="3"/>
  <c r="S200" i="3"/>
  <c r="S209" i="3"/>
  <c r="S218" i="3"/>
  <c r="S227" i="3"/>
  <c r="S236" i="3"/>
  <c r="S2" i="3"/>
  <c r="Q11" i="3"/>
  <c r="Q20" i="3"/>
  <c r="Q29" i="3"/>
  <c r="Q38" i="3"/>
  <c r="Q47" i="3"/>
  <c r="Q56" i="3"/>
  <c r="Q65" i="3"/>
  <c r="Q74" i="3"/>
  <c r="Q83" i="3"/>
  <c r="Q92" i="3"/>
  <c r="Q101" i="3"/>
  <c r="Q110" i="3"/>
  <c r="Q119" i="3"/>
  <c r="Q128" i="3"/>
  <c r="Q137" i="3"/>
  <c r="Q146" i="3"/>
  <c r="Q155" i="3"/>
  <c r="Q164" i="3"/>
  <c r="Q173" i="3"/>
  <c r="Q182" i="3"/>
  <c r="Q191" i="3"/>
  <c r="Q200" i="3"/>
  <c r="Q209" i="3"/>
  <c r="Q218" i="3"/>
  <c r="Q227" i="3"/>
  <c r="Q236" i="3"/>
  <c r="Q2" i="3"/>
  <c r="S11" i="4"/>
  <c r="S20" i="4"/>
  <c r="S29" i="4"/>
  <c r="S38" i="4"/>
  <c r="S47" i="4"/>
  <c r="S56" i="4"/>
  <c r="S65" i="4"/>
  <c r="S74" i="4"/>
  <c r="S83" i="4"/>
  <c r="S92" i="4"/>
  <c r="S101" i="4"/>
  <c r="S110" i="4"/>
  <c r="S119" i="4"/>
  <c r="S128" i="4"/>
  <c r="S137" i="4"/>
  <c r="S146" i="4"/>
  <c r="S155" i="4"/>
  <c r="S164" i="4"/>
  <c r="S173" i="4"/>
  <c r="S182" i="4"/>
  <c r="S191" i="4"/>
  <c r="S200" i="4"/>
  <c r="S209" i="4"/>
  <c r="S218" i="4"/>
  <c r="S227" i="4"/>
  <c r="S236" i="4"/>
  <c r="S2" i="4"/>
  <c r="Q11" i="4"/>
  <c r="Q20" i="4"/>
  <c r="Q29" i="4"/>
  <c r="Q38" i="4"/>
  <c r="Q47" i="4"/>
  <c r="Q56" i="4"/>
  <c r="Q65" i="4"/>
  <c r="Q74" i="4"/>
  <c r="Q83" i="4"/>
  <c r="Q92" i="4"/>
  <c r="Q101" i="4"/>
  <c r="Q110" i="4"/>
  <c r="Q119" i="4"/>
  <c r="Q128" i="4"/>
  <c r="Q137" i="4"/>
  <c r="Q146" i="4"/>
  <c r="Q155" i="4"/>
  <c r="Q164" i="4"/>
  <c r="Q173" i="4"/>
  <c r="Q182" i="4"/>
  <c r="Q191" i="4"/>
  <c r="Q200" i="4"/>
  <c r="Q209" i="4"/>
  <c r="Q218" i="4"/>
  <c r="Q227" i="4"/>
  <c r="Q236" i="4"/>
  <c r="Q2" i="4"/>
</calcChain>
</file>

<file path=xl/sharedStrings.xml><?xml version="1.0" encoding="utf-8"?>
<sst xmlns="http://schemas.openxmlformats.org/spreadsheetml/2006/main" count="1874" uniqueCount="135">
  <si>
    <t>Dimensão</t>
  </si>
  <si>
    <t>Variável</t>
  </si>
  <si>
    <t>Indicador</t>
  </si>
  <si>
    <t>Estado</t>
  </si>
  <si>
    <t>Participação da energia elétrica na renda média da população</t>
  </si>
  <si>
    <t>Equidade Energética</t>
  </si>
  <si>
    <t>Região</t>
  </si>
  <si>
    <t>Norte</t>
  </si>
  <si>
    <t>AMAZONAS</t>
  </si>
  <si>
    <t>AMAPÁ</t>
  </si>
  <si>
    <t>PARÁ</t>
  </si>
  <si>
    <t>TOCANTINS</t>
  </si>
  <si>
    <t>RORAIMA</t>
  </si>
  <si>
    <t>ACRE</t>
  </si>
  <si>
    <t>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</si>
  <si>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</si>
  <si>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</si>
  <si>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</si>
  <si>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</si>
  <si>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</si>
  <si>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</si>
  <si>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</si>
  <si>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</si>
  <si>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</si>
  <si>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</si>
  <si>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ESPÍRITO SANTO</t>
  </si>
  <si>
    <t>MINAS GERAIS</t>
  </si>
  <si>
    <t>RIO DE JANEIRO</t>
  </si>
  <si>
    <t>SÃO PAULO</t>
  </si>
  <si>
    <t>Centro Oeste</t>
  </si>
  <si>
    <t>MATO GROSSO</t>
  </si>
  <si>
    <t>MATO GROSSO DO SUL</t>
  </si>
  <si>
    <t>GOIÁS</t>
  </si>
  <si>
    <t>DISTRITO FEDERAL</t>
  </si>
  <si>
    <t>Sul</t>
  </si>
  <si>
    <t>PARANÁ</t>
  </si>
  <si>
    <t>SANTA CATARINA</t>
  </si>
  <si>
    <t>RIO GRANDE DO SUL</t>
  </si>
  <si>
    <t>Índice de endividamento dos estados</t>
  </si>
  <si>
    <t>Subsídios à energia renovável (%)</t>
  </si>
  <si>
    <t>Intensidade energética do estado</t>
  </si>
  <si>
    <t>IDH</t>
  </si>
  <si>
    <t>Índice de GINI</t>
  </si>
  <si>
    <t>Índice de usuários cadastrados em tarifa social por estado</t>
  </si>
  <si>
    <t>Taxa de eletrificação</t>
  </si>
  <si>
    <t>Capacidade instalada Mini e Micro Geraçao Distribuída</t>
  </si>
  <si>
    <t>Escala 2018</t>
  </si>
  <si>
    <t>Escala 2019</t>
  </si>
  <si>
    <t>Escala 2020</t>
  </si>
  <si>
    <t>Escala 2021</t>
  </si>
  <si>
    <t>Escala 2022</t>
  </si>
  <si>
    <t>Segurança Energética</t>
  </si>
  <si>
    <t>i01</t>
  </si>
  <si>
    <t>Consumo de energia per capita</t>
  </si>
  <si>
    <t>i02</t>
  </si>
  <si>
    <t>Qualidade do fornecimento de eletricidade</t>
  </si>
  <si>
    <t>i03</t>
  </si>
  <si>
    <t>Fornecimento de energia per capita</t>
  </si>
  <si>
    <t>i04</t>
  </si>
  <si>
    <t>Quota de eletricidade proveniente de fontes renováveis</t>
  </si>
  <si>
    <t>i05</t>
  </si>
  <si>
    <t>i06</t>
  </si>
  <si>
    <t>i07</t>
  </si>
  <si>
    <t>i08</t>
  </si>
  <si>
    <t>i09</t>
  </si>
  <si>
    <t>Capacidade instalada  de geração elétrica (renovável)</t>
  </si>
  <si>
    <t>Consumo de energia elétrica pelo total de usuários da rede</t>
  </si>
  <si>
    <t>Índice de importação/exportação de energia</t>
  </si>
  <si>
    <t>Trilema 2018</t>
  </si>
  <si>
    <t>Trilema 2019</t>
  </si>
  <si>
    <t>Trilema 2020</t>
  </si>
  <si>
    <t>Trilema 2021</t>
  </si>
  <si>
    <t>Trilema 2022</t>
  </si>
  <si>
    <t>RONDONIA</t>
  </si>
  <si>
    <t>Ambiental</t>
  </si>
  <si>
    <t>a01</t>
  </si>
  <si>
    <t>Consumo de água per capita</t>
  </si>
  <si>
    <t>a02</t>
  </si>
  <si>
    <t>População sem acesso a água</t>
  </si>
  <si>
    <t>a03</t>
  </si>
  <si>
    <t>Cobertura de Saneamento básico - população com acesso a rede de esgoto</t>
  </si>
  <si>
    <t>a04</t>
  </si>
  <si>
    <t>Geração e percentual não tratado de efluentes</t>
  </si>
  <si>
    <t>a05</t>
  </si>
  <si>
    <t>Emissões de GEE</t>
  </si>
  <si>
    <t>a07</t>
  </si>
  <si>
    <t>Mortes por problemas respiratórios</t>
  </si>
  <si>
    <t>a08</t>
  </si>
  <si>
    <t>Taxa de desmatamento</t>
  </si>
  <si>
    <t>a09</t>
  </si>
  <si>
    <t>Afetados por eventos extremos</t>
  </si>
  <si>
    <t>a06</t>
  </si>
  <si>
    <t>a10</t>
  </si>
  <si>
    <t>Total de geração eólica por estado</t>
  </si>
  <si>
    <t>Total de geração fotovoltáica por estado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</si>
  <si>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</si>
  <si>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</si>
  <si>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</si>
  <si>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</si>
  <si>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</si>
  <si>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</si>
  <si>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</si>
  <si>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</si>
  <si>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</si>
  <si>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Índice de Esgoto tratado</t>
  </si>
  <si>
    <t>Equidade 2018</t>
  </si>
  <si>
    <t>Segurança 2018</t>
  </si>
  <si>
    <t>Ambiental 2018</t>
  </si>
  <si>
    <t>Equidade 2019</t>
  </si>
  <si>
    <t>Segurança 2019</t>
  </si>
  <si>
    <t>Ambiental 2019</t>
  </si>
  <si>
    <t>Equidade 2020</t>
  </si>
  <si>
    <t>Segurança 2020</t>
  </si>
  <si>
    <t>Ambiental 2020</t>
  </si>
  <si>
    <t>Equidade 2021</t>
  </si>
  <si>
    <t>Segurança 2021</t>
  </si>
  <si>
    <t>Ambiental 2021</t>
  </si>
  <si>
    <t>Equidade 2022</t>
  </si>
  <si>
    <t>Segurança 2022</t>
  </si>
  <si>
    <t>Ambiental 2022</t>
  </si>
  <si>
    <t>Mortes por desastres climáticos</t>
  </si>
  <si>
    <t>Mortes por eventos extremos e desastres climáticos</t>
  </si>
  <si>
    <t>Danos por eventos extremos  e desastres climáticos</t>
  </si>
  <si>
    <t>Afetados por eventos extremos e desastres climáticos</t>
  </si>
  <si>
    <t>Danos por eventos extremos e desastres climáticos</t>
  </si>
  <si>
    <t>Trilema 2023</t>
  </si>
  <si>
    <t>Escala 2023</t>
  </si>
  <si>
    <t>Escala 2024</t>
  </si>
  <si>
    <t>Trilema 2024</t>
  </si>
  <si>
    <t>Equidade 2023</t>
  </si>
  <si>
    <t>Segurança 2023</t>
  </si>
  <si>
    <t>Ambiental 2023</t>
  </si>
  <si>
    <t>Equidade 2024</t>
  </si>
  <si>
    <t>Segurança 2024</t>
  </si>
  <si>
    <t>Ambiental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</si>
</sst>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00_-;\-* #,##0.0000_-;_-* &quot;-&quot;??_-;_-@_-"/>
    <numFmt numFmtId="165" formatCode="0.0000"/>
    <numFmt numFmtId="166" formatCode="General_)"/>
    <numFmt numFmtId="170" formatCode="_-* #,##0.00_-;\-* #,##0.00_-;_-* &quot;-&quot;??_-;_-@_-"/>
  </numFmts>
  <fonts count="1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ourier"/>
      <family val="3"/>
    </font>
    <font>
      <sz val="12"/>
      <name val="Arial MT"/>
    </font>
    <font>
      <u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6">
    <xf numFmtId="0" fontId="0" fillId="0" borderId="0"/>
    <xf numFmtId="43" fontId="3" fillId="0" borderId="0" applyFont="0" applyFill="0" applyBorder="0" applyAlignment="0" applyProtection="0"/>
    <xf numFmtId="0" fontId="4" fillId="0" borderId="0">
      <alignment vertical="center"/>
    </xf>
    <xf numFmtId="0" fontId="7" fillId="0" borderId="0">
      <alignment vertical="center"/>
    </xf>
    <xf numFmtId="0" fontId="3" fillId="0" borderId="0"/>
    <xf numFmtId="0" fontId="7" fillId="0" borderId="0">
      <alignment vertical="center"/>
    </xf>
    <xf numFmtId="166" fontId="8" fillId="0" borderId="0"/>
    <xf numFmtId="0" fontId="5" fillId="0" borderId="0"/>
    <xf numFmtId="0" fontId="5" fillId="0" borderId="0"/>
    <xf numFmtId="166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7" fillId="0" borderId="0">
      <alignment vertical="center"/>
    </xf>
    <xf numFmtId="0" fontId="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3" fillId="0" borderId="0"/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3" fillId="0" borderId="0"/>
  </cellStyleXfs>
  <cellXfs count="6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left" vertical="center"/>
    </xf>
    <xf numFmtId="43" fontId="1" fillId="2" borderId="0" xfId="1" applyFont="1" applyFill="1"/>
    <xf numFmtId="43" fontId="2" fillId="3" borderId="1" xfId="1" applyFont="1" applyFill="1" applyBorder="1" applyAlignment="1">
      <alignment horizontal="center"/>
    </xf>
    <xf numFmtId="43" fontId="1" fillId="2" borderId="1" xfId="1" applyFont="1" applyFill="1" applyBorder="1"/>
    <xf numFmtId="43" fontId="1" fillId="4" borderId="1" xfId="1" applyFont="1" applyFill="1" applyBorder="1"/>
    <xf numFmtId="164" fontId="1" fillId="2" borderId="2" xfId="1" applyNumberFormat="1" applyFont="1" applyFill="1" applyBorder="1" applyAlignment="1">
      <alignment horizontal="center" vertical="center"/>
    </xf>
    <xf numFmtId="164" fontId="1" fillId="4" borderId="2" xfId="1" applyNumberFormat="1" applyFont="1" applyFill="1" applyBorder="1" applyAlignment="1">
      <alignment horizontal="center" vertical="center"/>
    </xf>
    <xf numFmtId="164" fontId="1" fillId="2" borderId="1" xfId="1" applyNumberFormat="1" applyFont="1" applyFill="1" applyBorder="1" applyAlignment="1">
      <alignment horizontal="center" vertical="center"/>
    </xf>
    <xf numFmtId="164" fontId="1" fillId="2" borderId="2" xfId="1" applyNumberFormat="1" applyFont="1" applyFill="1" applyBorder="1" applyAlignment="1">
      <alignment vertical="center"/>
    </xf>
    <xf numFmtId="164" fontId="1" fillId="4" borderId="2" xfId="1" applyNumberFormat="1" applyFont="1" applyFill="1" applyBorder="1" applyAlignment="1">
      <alignment vertical="center"/>
    </xf>
    <xf numFmtId="164" fontId="1" fillId="2" borderId="1" xfId="1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165" fontId="2" fillId="3" borderId="1" xfId="1" applyNumberFormat="1" applyFont="1" applyFill="1" applyBorder="1" applyAlignment="1">
      <alignment horizontal="center"/>
    </xf>
    <xf numFmtId="165" fontId="1" fillId="2" borderId="0" xfId="1" applyNumberFormat="1" applyFont="1" applyFill="1" applyAlignment="1">
      <alignment horizontal="center"/>
    </xf>
    <xf numFmtId="165" fontId="1" fillId="2" borderId="0" xfId="1" applyNumberFormat="1" applyFont="1" applyFill="1"/>
    <xf numFmtId="0" fontId="4" fillId="0" borderId="0" xfId="2" applyAlignment="1"/>
    <xf numFmtId="0" fontId="9" fillId="2" borderId="0" xfId="0" applyFont="1" applyFill="1"/>
    <xf numFmtId="165" fontId="1" fillId="2" borderId="2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5" fontId="1" fillId="4" borderId="2" xfId="0" applyNumberFormat="1" applyFont="1" applyFill="1" applyBorder="1" applyAlignment="1">
      <alignment horizontal="center" vertical="center"/>
    </xf>
    <xf numFmtId="165" fontId="1" fillId="4" borderId="3" xfId="0" applyNumberFormat="1" applyFont="1" applyFill="1" applyBorder="1" applyAlignment="1">
      <alignment horizontal="center" vertical="center"/>
    </xf>
    <xf numFmtId="165" fontId="1" fillId="4" borderId="4" xfId="0" applyNumberFormat="1" applyFont="1" applyFill="1" applyBorder="1" applyAlignment="1">
      <alignment horizontal="center" vertical="center"/>
    </xf>
    <xf numFmtId="165" fontId="1" fillId="4" borderId="2" xfId="1" applyNumberFormat="1" applyFont="1" applyFill="1" applyBorder="1" applyAlignment="1">
      <alignment horizontal="center" vertical="center"/>
    </xf>
    <xf numFmtId="165" fontId="1" fillId="4" borderId="3" xfId="1" applyNumberFormat="1" applyFont="1" applyFill="1" applyBorder="1" applyAlignment="1">
      <alignment horizontal="center" vertical="center"/>
    </xf>
    <xf numFmtId="165" fontId="1" fillId="2" borderId="2" xfId="1" applyNumberFormat="1" applyFont="1" applyFill="1" applyBorder="1" applyAlignment="1">
      <alignment horizontal="center" vertical="center"/>
    </xf>
    <xf numFmtId="165" fontId="1" fillId="2" borderId="3" xfId="1" applyNumberFormat="1" applyFont="1" applyFill="1" applyBorder="1" applyAlignment="1">
      <alignment horizontal="center" vertical="center"/>
    </xf>
    <xf numFmtId="165" fontId="1" fillId="2" borderId="4" xfId="1" applyNumberFormat="1" applyFont="1" applyFill="1" applyBorder="1" applyAlignment="1">
      <alignment horizontal="center" vertical="center"/>
    </xf>
    <xf numFmtId="165" fontId="1" fillId="4" borderId="4" xfId="1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2" borderId="0" xfId="0" applyFont="1" applyFill="1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1" fillId="2" borderId="0" xfId="0" applyFont="1" applyFill="1"/>
    <xf numFmtId="0" fontId="2" fillId="3" borderId="1" xfId="0" applyFont="1" applyFill="1" applyBorder="1" applyAlignment="1">
      <alignment horizontal="center"/>
    </xf>
  </cellXfs>
  <cellStyles count="76">
    <cellStyle name="Estilo 1" xfId="3" xr:uid="{4EC6B14A-662B-46FC-A329-ED090C85543E}"/>
    <cellStyle name="Normal" xfId="0" builtinId="0"/>
    <cellStyle name="Normal 19" xfId="4" xr:uid="{7956A873-E9AB-4097-9A39-C24A0039BF41}"/>
    <cellStyle name="Normal 2" xfId="2" xr:uid="{293A037F-3C8F-4C9C-8761-DCF0396EF770}"/>
    <cellStyle name="Normal 2 2" xfId="5" xr:uid="{ABD19F29-5A68-4E8F-8B8F-907830258942}"/>
    <cellStyle name="Normal 2 2 2" xfId="6" xr:uid="{0ABA6251-BF73-40D1-8CAE-DA79AFB3DE17}"/>
    <cellStyle name="Normal 2 3" xfId="7" xr:uid="{1E062956-7BF9-47B1-8977-A2644FEEA295}"/>
    <cellStyle name="Normal 2 3 2" xfId="8" xr:uid="{0937ECCC-920C-4266-B136-9954FD155262}"/>
    <cellStyle name="Normal 2 3 3" xfId="9" xr:uid="{F81CC749-F2D3-4520-9F9C-EE811846B88F}"/>
    <cellStyle name="Normal 2 4" xfId="10" xr:uid="{49F3483A-1D0A-4ECE-B130-3B545F3EDD23}"/>
    <cellStyle name="Normal 20" xfId="11" xr:uid="{ECA0B7EE-CCDA-499B-906B-47EF92352358}"/>
    <cellStyle name="Normal 22" xfId="12" xr:uid="{ACE12E6E-75E9-45CA-AE91-FA071C1BEBE2}"/>
    <cellStyle name="Normal 23" xfId="13" xr:uid="{D8475B61-1EEB-4412-BB44-23B54C6ABEE9}"/>
    <cellStyle name="Normal 28" xfId="14" xr:uid="{290C2297-EACF-4E03-83A8-640E9379FAA2}"/>
    <cellStyle name="Normal 3" xfId="15" xr:uid="{A7FCADC7-BB46-4727-9DEA-E7D7AEC78164}"/>
    <cellStyle name="Normal 32" xfId="16" xr:uid="{B54D1FF9-F37D-4A5C-88B1-FE55C7F0F2C3}"/>
    <cellStyle name="Normal 39" xfId="17" xr:uid="{6CDD03A3-72E2-407D-96AF-3AD7FC781FC2}"/>
    <cellStyle name="Normal 4" xfId="18" xr:uid="{94713ED5-E9C0-4806-8393-12C93B99113E}"/>
    <cellStyle name="Normal 4 10" xfId="19" xr:uid="{F46A0970-23A9-4536-86BE-5F75FC7A4C8D}"/>
    <cellStyle name="Normal 4 2" xfId="20" xr:uid="{4D5B2C9F-9005-4727-8326-EE248438E57A}"/>
    <cellStyle name="Normal 43" xfId="21" xr:uid="{E9599374-1B85-4141-BC4F-1E442A56F8A0}"/>
    <cellStyle name="Normal 5" xfId="22" xr:uid="{C5538788-8A1F-4A7C-B833-5502CF31C4D2}"/>
    <cellStyle name="Normal 50" xfId="23" xr:uid="{BD9070D6-5693-43F1-9A32-0D0B4AA9F509}"/>
    <cellStyle name="Normal 6" xfId="24" xr:uid="{62CDE662-B109-436B-8A56-02EAEC3DFBF6}"/>
    <cellStyle name="Normal 6 2" xfId="25" xr:uid="{A505DC2D-8E43-437D-929E-205779CBE735}"/>
    <cellStyle name="Normal 7" xfId="26" xr:uid="{EE3AA0BC-F112-418E-83A4-0A14D8DEC5AB}"/>
    <cellStyle name="Normal 8" xfId="27" xr:uid="{519468BA-212B-4661-956D-C912B34E0975}"/>
    <cellStyle name="Normal 8 2" xfId="28" xr:uid="{68DD58E8-FA9E-4BB3-8C00-C2ACDCA87F43}"/>
    <cellStyle name="Normal 9" xfId="29" xr:uid="{EC1DCDD1-30AE-41CF-924E-0C7BEA1E8AA9}"/>
    <cellStyle name="Normal 9 2" xfId="30" xr:uid="{E0A81F39-29CA-412E-86AA-8859AA5E65A1}"/>
    <cellStyle name="Porcentagem 10" xfId="32" xr:uid="{D60DADAB-73FA-4B49-87C3-F7A219D6EC58}"/>
    <cellStyle name="Porcentagem 10 2" xfId="33" xr:uid="{E08E3543-1D88-407C-8E9B-A675827B2230}"/>
    <cellStyle name="Porcentagem 11" xfId="31" xr:uid="{01D92536-0BE7-43C7-9FB1-872462899652}"/>
    <cellStyle name="Porcentagem 2" xfId="34" xr:uid="{62B7F457-B00C-4282-8269-CD05A7075C42}"/>
    <cellStyle name="Porcentagem 3" xfId="35" xr:uid="{5AE26C65-0422-479B-A440-34EAF6CB3151}"/>
    <cellStyle name="Porcentagem 4" xfId="36" xr:uid="{DE3DB282-2329-40DF-A20E-BEA242431718}"/>
    <cellStyle name="Porcentagem 5" xfId="37" xr:uid="{E97AC6B5-5FA4-4A33-9B28-699335413FFC}"/>
    <cellStyle name="Porcentagem 5 2" xfId="38" xr:uid="{FB82FD54-61BA-435D-A560-FC0AAE1FA831}"/>
    <cellStyle name="Porcentagem 6" xfId="39" xr:uid="{45B9BF41-DC01-49A7-AA85-0BE11FA9716D}"/>
    <cellStyle name="Porcentagem 6 2" xfId="40" xr:uid="{8BB6A34B-1048-4FDF-9617-72728F2CDF84}"/>
    <cellStyle name="Porcentagem 7" xfId="41" xr:uid="{18B0ECF9-2DA3-427F-8E3E-B8481571BC84}"/>
    <cellStyle name="Porcentagem 8" xfId="42" xr:uid="{2D2F65FF-8278-4966-BA3D-B13844FE4254}"/>
    <cellStyle name="Porcentagem 9" xfId="43" xr:uid="{07973F04-9F09-4BC6-942E-A0F4778441FC}"/>
    <cellStyle name="Porcentagem 9 2" xfId="44" xr:uid="{84135FAC-6E81-40FF-8C1B-20753B280F2B}"/>
    <cellStyle name="Separador de milhares 2" xfId="45" xr:uid="{CB3A8C62-8F83-4114-A7F4-9FD627BFB70E}"/>
    <cellStyle name="Separador de milhares 2 2" xfId="46" xr:uid="{DA7EF4CC-6293-4D8D-B9B6-5E4167284A87}"/>
    <cellStyle name="Separador de milhares 2 2 2" xfId="47" xr:uid="{AC971140-4ADA-4E77-8A4A-E1500FDA67ED}"/>
    <cellStyle name="Separador de milhares 2 3" xfId="48" xr:uid="{A64D5BC8-E34E-4205-9E14-42AE9A8CC093}"/>
    <cellStyle name="Separador de milhares 2 3 2" xfId="49" xr:uid="{95FAD77B-7896-461E-AC39-EFBC214C0EEF}"/>
    <cellStyle name="Separador de milhares 2 3 2 2" xfId="50" xr:uid="{72D9AF23-AD3C-4CEC-8852-BA2149172C2A}"/>
    <cellStyle name="Separador de milhares 2 3 3" xfId="51" xr:uid="{C867381C-A0A5-472E-8EA0-FE5D74194139}"/>
    <cellStyle name="Separador de milhares 2 4" xfId="52" xr:uid="{DE74E2C0-8D0D-4A14-ACC5-D468118E1FF0}"/>
    <cellStyle name="Separador de milhares 3" xfId="53" xr:uid="{87288697-4953-444B-82C9-849C395FC95F}"/>
    <cellStyle name="Separador de milhares 3 2" xfId="54" xr:uid="{1C92AA4A-57F4-4946-A585-E3827FC6D957}"/>
    <cellStyle name="Separador de milhares 4" xfId="55" xr:uid="{4761BB0D-0D07-492C-93E4-0203964F1369}"/>
    <cellStyle name="Separador de milhares 4 2" xfId="56" xr:uid="{AB96B910-FA98-4549-AFEF-583B6817B97E}"/>
    <cellStyle name="Separador de milhares 4 2 2" xfId="57" xr:uid="{706FB566-9440-42BD-BF9E-0AC1F931B51E}"/>
    <cellStyle name="Separador de milhares 4 3" xfId="58" xr:uid="{5B2B08C5-71C6-4B72-95FF-B2E74A045E44}"/>
    <cellStyle name="Separador de milhares 5" xfId="59" xr:uid="{D90A68DB-90FC-48B3-AEE5-0D95D24881E2}"/>
    <cellStyle name="Separador de milhares 5 2" xfId="60" xr:uid="{298C8E2F-E85A-47B1-8D0D-E1300B0E9759}"/>
    <cellStyle name="Vírgula" xfId="1" builtinId="3"/>
    <cellStyle name="Vírgula 2" xfId="62" xr:uid="{45156DC5-8A30-4E06-B987-86179114AB80}"/>
    <cellStyle name="Vírgula 2 2" xfId="63" xr:uid="{CFF94545-BE8F-4B45-8D24-DEBAA2398AD6}"/>
    <cellStyle name="Vírgula 2 2 2" xfId="64" xr:uid="{B6DD72FB-C92E-4677-ABD8-1FA1D764F7BE}"/>
    <cellStyle name="Vírgula 2 2 2 2" xfId="65" xr:uid="{E1421D8E-8E86-497A-BA8A-06786D13ECF4}"/>
    <cellStyle name="Vírgula 3" xfId="66" xr:uid="{68A932DB-A3B2-43DD-95E5-FAAE6C494275}"/>
    <cellStyle name="Vírgula 3 2" xfId="67" xr:uid="{22711504-BF1B-4377-A1DD-A0FA1B224806}"/>
    <cellStyle name="Vírgula 4" xfId="68" xr:uid="{3E5619ED-F7E0-46B9-B0DC-B53C03102FB8}"/>
    <cellStyle name="Vírgula 4 2" xfId="69" xr:uid="{60886288-15BF-4A5A-8F7A-523EE3596FD4}"/>
    <cellStyle name="Vírgula 5" xfId="70" xr:uid="{DF2A52DF-C56F-418A-AC53-2856B6D0E35D}"/>
    <cellStyle name="Vírgula 5 2" xfId="71" xr:uid="{9D2009F5-2461-4B7C-8608-5ACDF6046008}"/>
    <cellStyle name="Vírgula 6" xfId="72" xr:uid="{D5B2A3E7-D241-4425-93DA-A61A67366C55}"/>
    <cellStyle name="Vírgula 6 2" xfId="73" xr:uid="{A6456C80-1A20-4744-92DB-7C5D141FA4E2}"/>
    <cellStyle name="Vírgula 7" xfId="74" xr:uid="{92E68452-4BDD-4A65-B8D9-DAFD1D998859}"/>
    <cellStyle name="Vírgula 8" xfId="61" xr:uid="{92F99438-96FC-48BA-8DBE-8D91C770639A}"/>
    <cellStyle name="Vírgula 9" xfId="75" xr:uid="{5066987D-F9D8-47ED-AEC6-46E3A23F13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716E-60EE-48BB-A138-260E93873812}">
  <dimension ref="A1:X244"/>
  <sheetViews>
    <sheetView topLeftCell="B1" zoomScale="85" zoomScaleNormal="85" workbookViewId="0">
      <selection activeCell="Q2" sqref="Q2:Q244"/>
    </sheetView>
  </sheetViews>
  <sheetFormatPr defaultColWidth="8.85546875" defaultRowHeight="12.75"/>
  <cols>
    <col min="1" max="1" width="16.7109375" style="1" bestFit="1" customWidth="1"/>
    <col min="2" max="2" width="7.28515625" style="1" bestFit="1" customWidth="1"/>
    <col min="3" max="3" width="47.28515625" style="1" bestFit="1" customWidth="1"/>
    <col min="4" max="4" width="11.140625" style="1" bestFit="1" customWidth="1"/>
    <col min="5" max="5" width="10.28515625" style="1" bestFit="1" customWidth="1"/>
    <col min="6" max="14" width="13" style="1" customWidth="1"/>
    <col min="15" max="15" width="15" style="1" customWidth="1"/>
    <col min="16" max="16" width="13" style="1" customWidth="1"/>
    <col min="17" max="17" width="15" style="1" customWidth="1"/>
    <col min="18" max="18" width="13" style="1" customWidth="1"/>
    <col min="19" max="19" width="15" style="1" customWidth="1"/>
    <col min="20" max="16384" width="8.85546875" style="1"/>
  </cols>
  <sheetData>
    <row r="1" spans="1:21">
      <c r="A1" s="5" t="s">
        <v>0</v>
      </c>
      <c r="B1" s="5" t="s">
        <v>1</v>
      </c>
      <c r="C1" s="5" t="s">
        <v>2</v>
      </c>
      <c r="D1" s="5" t="s">
        <v>6</v>
      </c>
      <c r="E1" s="5" t="s">
        <v>3</v>
      </c>
      <c r="F1" s="5" t="s">
        <v>46</v>
      </c>
      <c r="G1" s="5" t="s">
        <v>68</v>
      </c>
      <c r="H1" s="5" t="s">
        <v>47</v>
      </c>
      <c r="I1" s="5" t="s">
        <v>69</v>
      </c>
      <c r="J1" s="5" t="s">
        <v>48</v>
      </c>
      <c r="K1" s="5" t="s">
        <v>70</v>
      </c>
      <c r="L1" s="5" t="s">
        <v>49</v>
      </c>
      <c r="M1" s="5" t="s">
        <v>71</v>
      </c>
      <c r="N1" s="5" t="s">
        <v>50</v>
      </c>
      <c r="O1" s="5" t="s">
        <v>72</v>
      </c>
      <c r="P1" s="5" t="s">
        <v>126</v>
      </c>
      <c r="Q1" s="5" t="s">
        <v>125</v>
      </c>
      <c r="R1" s="5" t="s">
        <v>127</v>
      </c>
      <c r="S1" s="5" t="s">
        <v>128</v>
      </c>
    </row>
    <row r="2" spans="1:21">
      <c r="A2" s="35" t="s">
        <v>5</v>
      </c>
      <c r="B2" s="2" t="s">
        <v>95</v>
      </c>
      <c r="C2" s="3" t="s">
        <v>4</v>
      </c>
      <c r="D2" s="35" t="s">
        <v>7</v>
      </c>
      <c r="E2" s="35" t="s">
        <v>8</v>
      </c>
      <c r="F2" s="4">
        <v>1</v>
      </c>
      <c r="G2" s="32">
        <v>4.2222222222222223</v>
      </c>
      <c r="H2" s="4">
        <v>2</v>
      </c>
      <c r="I2" s="32">
        <v>4.2222222222222223</v>
      </c>
      <c r="J2" s="4">
        <v>3</v>
      </c>
      <c r="K2" s="32">
        <v>4</v>
      </c>
      <c r="L2" s="4">
        <v>1</v>
      </c>
      <c r="M2" s="32">
        <v>3.8888888888888888</v>
      </c>
      <c r="N2" s="4">
        <v>1</v>
      </c>
      <c r="O2" s="32">
        <v>4.1111111111111107</v>
      </c>
      <c r="P2" s="4">
        <v>1</v>
      </c>
      <c r="Q2" s="32">
        <f>SUM(P2:P10)/9</f>
        <v>3.5555555555555554</v>
      </c>
      <c r="R2" s="4">
        <v>8</v>
      </c>
      <c r="S2" s="32">
        <f>SUM(R2:R10)/9</f>
        <v>4.8888888888888893</v>
      </c>
    </row>
    <row r="3" spans="1:21">
      <c r="A3" s="36"/>
      <c r="B3" s="2" t="s">
        <v>96</v>
      </c>
      <c r="C3" s="3" t="s">
        <v>38</v>
      </c>
      <c r="D3" s="36"/>
      <c r="E3" s="36"/>
      <c r="F3" s="4">
        <v>8</v>
      </c>
      <c r="G3" s="33"/>
      <c r="H3" s="4">
        <v>8</v>
      </c>
      <c r="I3" s="33"/>
      <c r="J3" s="4">
        <v>7</v>
      </c>
      <c r="K3" s="33"/>
      <c r="L3" s="4">
        <v>8</v>
      </c>
      <c r="M3" s="33"/>
      <c r="N3" s="4">
        <v>8</v>
      </c>
      <c r="O3" s="33"/>
      <c r="P3" s="4">
        <v>8</v>
      </c>
      <c r="Q3" s="33"/>
      <c r="R3" s="4">
        <v>9</v>
      </c>
      <c r="S3" s="33"/>
    </row>
    <row r="4" spans="1:21">
      <c r="A4" s="36"/>
      <c r="B4" s="2" t="s">
        <v>97</v>
      </c>
      <c r="C4" s="3" t="s">
        <v>39</v>
      </c>
      <c r="D4" s="36"/>
      <c r="E4" s="36"/>
      <c r="F4" s="4">
        <v>1</v>
      </c>
      <c r="G4" s="33"/>
      <c r="H4" s="4">
        <v>1</v>
      </c>
      <c r="I4" s="33"/>
      <c r="J4" s="4">
        <v>1</v>
      </c>
      <c r="K4" s="33"/>
      <c r="L4" s="4">
        <v>1</v>
      </c>
      <c r="M4" s="33"/>
      <c r="N4" s="4">
        <v>1</v>
      </c>
      <c r="O4" s="33"/>
      <c r="P4" s="4">
        <v>1</v>
      </c>
      <c r="Q4" s="33"/>
      <c r="R4" s="4">
        <v>1</v>
      </c>
      <c r="S4" s="33"/>
    </row>
    <row r="5" spans="1:21">
      <c r="A5" s="36"/>
      <c r="B5" s="2" t="s">
        <v>98</v>
      </c>
      <c r="C5" s="3" t="s">
        <v>40</v>
      </c>
      <c r="D5" s="36"/>
      <c r="E5" s="36"/>
      <c r="F5" s="4">
        <v>9</v>
      </c>
      <c r="G5" s="33"/>
      <c r="H5" s="4">
        <v>9</v>
      </c>
      <c r="I5" s="33"/>
      <c r="J5" s="4">
        <v>9</v>
      </c>
      <c r="K5" s="33"/>
      <c r="L5" s="4">
        <v>9</v>
      </c>
      <c r="M5" s="33"/>
      <c r="N5" s="4">
        <v>9</v>
      </c>
      <c r="O5" s="33"/>
      <c r="P5" s="4">
        <v>9</v>
      </c>
      <c r="Q5" s="33"/>
      <c r="R5" s="4">
        <v>9</v>
      </c>
      <c r="S5" s="33"/>
    </row>
    <row r="6" spans="1:21">
      <c r="A6" s="36"/>
      <c r="B6" s="2" t="s">
        <v>99</v>
      </c>
      <c r="C6" s="3" t="s">
        <v>41</v>
      </c>
      <c r="D6" s="36"/>
      <c r="E6" s="36"/>
      <c r="F6" s="4">
        <v>3</v>
      </c>
      <c r="G6" s="33"/>
      <c r="H6" s="4">
        <v>3</v>
      </c>
      <c r="I6" s="33"/>
      <c r="J6" s="4">
        <v>3</v>
      </c>
      <c r="K6" s="33"/>
      <c r="L6" s="4">
        <v>2</v>
      </c>
      <c r="M6" s="33"/>
      <c r="N6" s="4">
        <v>2</v>
      </c>
      <c r="O6" s="33"/>
      <c r="P6" s="4">
        <v>4</v>
      </c>
      <c r="Q6" s="33"/>
      <c r="R6" s="4">
        <v>4</v>
      </c>
      <c r="S6" s="33"/>
    </row>
    <row r="7" spans="1:21">
      <c r="A7" s="36"/>
      <c r="B7" s="2" t="s">
        <v>100</v>
      </c>
      <c r="C7" s="3" t="s">
        <v>42</v>
      </c>
      <c r="D7" s="36"/>
      <c r="E7" s="36"/>
      <c r="F7" s="4">
        <v>2</v>
      </c>
      <c r="G7" s="33"/>
      <c r="H7" s="4">
        <v>1</v>
      </c>
      <c r="I7" s="33"/>
      <c r="J7" s="4">
        <v>1</v>
      </c>
      <c r="K7" s="33"/>
      <c r="L7" s="4">
        <v>3</v>
      </c>
      <c r="M7" s="33"/>
      <c r="N7" s="4">
        <v>4</v>
      </c>
      <c r="O7" s="33"/>
      <c r="P7" s="4">
        <v>3</v>
      </c>
      <c r="Q7" s="33"/>
      <c r="R7" s="4">
        <v>3</v>
      </c>
      <c r="S7" s="33"/>
    </row>
    <row r="8" spans="1:21">
      <c r="A8" s="36"/>
      <c r="B8" s="2" t="s">
        <v>101</v>
      </c>
      <c r="C8" s="3" t="s">
        <v>43</v>
      </c>
      <c r="D8" s="36"/>
      <c r="E8" s="36"/>
      <c r="F8" s="4">
        <v>7</v>
      </c>
      <c r="G8" s="33"/>
      <c r="H8" s="4">
        <v>8</v>
      </c>
      <c r="I8" s="33"/>
      <c r="J8" s="4">
        <v>5</v>
      </c>
      <c r="K8" s="33"/>
      <c r="L8" s="4">
        <v>5</v>
      </c>
      <c r="M8" s="33"/>
      <c r="N8" s="4">
        <v>5</v>
      </c>
      <c r="O8" s="33"/>
      <c r="P8" s="4">
        <v>1</v>
      </c>
      <c r="Q8" s="33"/>
      <c r="R8" s="4">
        <v>5</v>
      </c>
      <c r="S8" s="33"/>
      <c r="U8" s="31"/>
    </row>
    <row r="9" spans="1:21">
      <c r="A9" s="36"/>
      <c r="B9" s="2" t="s">
        <v>102</v>
      </c>
      <c r="C9" s="3" t="s">
        <v>44</v>
      </c>
      <c r="D9" s="36"/>
      <c r="E9" s="36"/>
      <c r="F9" s="4">
        <v>6</v>
      </c>
      <c r="G9" s="33"/>
      <c r="H9" s="4">
        <v>5</v>
      </c>
      <c r="I9" s="33"/>
      <c r="J9" s="4">
        <v>6</v>
      </c>
      <c r="K9" s="33"/>
      <c r="L9" s="4">
        <v>5</v>
      </c>
      <c r="M9" s="33"/>
      <c r="N9" s="4">
        <v>6</v>
      </c>
      <c r="O9" s="33"/>
      <c r="P9" s="4">
        <v>4</v>
      </c>
      <c r="Q9" s="33"/>
      <c r="R9" s="4">
        <v>4</v>
      </c>
      <c r="S9" s="33"/>
    </row>
    <row r="10" spans="1:21">
      <c r="A10" s="36"/>
      <c r="B10" s="2" t="s">
        <v>103</v>
      </c>
      <c r="C10" s="3" t="s">
        <v>45</v>
      </c>
      <c r="D10" s="36"/>
      <c r="E10" s="36"/>
      <c r="F10" s="4">
        <v>1</v>
      </c>
      <c r="G10" s="33"/>
      <c r="H10" s="4">
        <v>1</v>
      </c>
      <c r="I10" s="33"/>
      <c r="J10" s="4">
        <v>1</v>
      </c>
      <c r="K10" s="33"/>
      <c r="L10" s="4">
        <v>1</v>
      </c>
      <c r="M10" s="33"/>
      <c r="N10" s="4">
        <v>1</v>
      </c>
      <c r="O10" s="33"/>
      <c r="P10" s="4">
        <v>1</v>
      </c>
      <c r="Q10" s="33"/>
      <c r="R10" s="4">
        <v>1</v>
      </c>
      <c r="S10" s="33"/>
    </row>
    <row r="11" spans="1:21" ht="13.9" customHeight="1">
      <c r="A11" s="38" t="s">
        <v>5</v>
      </c>
      <c r="B11" s="9" t="s">
        <v>95</v>
      </c>
      <c r="C11" s="10" t="s">
        <v>4</v>
      </c>
      <c r="D11" s="38" t="s">
        <v>7</v>
      </c>
      <c r="E11" s="38" t="s">
        <v>9</v>
      </c>
      <c r="F11" s="11">
        <v>1</v>
      </c>
      <c r="G11" s="40">
        <v>4.8888888888888893</v>
      </c>
      <c r="H11" s="11">
        <v>2</v>
      </c>
      <c r="I11" s="40">
        <v>5.4444444444444446</v>
      </c>
      <c r="J11" s="11">
        <v>4</v>
      </c>
      <c r="K11" s="40">
        <v>5.4444444444444446</v>
      </c>
      <c r="L11" s="11">
        <v>3</v>
      </c>
      <c r="M11" s="40">
        <v>4.5555555555555554</v>
      </c>
      <c r="N11" s="11">
        <v>2</v>
      </c>
      <c r="O11" s="40">
        <v>4.4444444444444446</v>
      </c>
      <c r="P11" s="11">
        <v>6</v>
      </c>
      <c r="Q11" s="40">
        <f t="shared" ref="Q11" si="0">SUM(P11:P19)/9</f>
        <v>5.5555555555555554</v>
      </c>
      <c r="R11" s="11">
        <v>8</v>
      </c>
      <c r="S11" s="40">
        <f t="shared" ref="S11" si="1">SUM(R11:R19)/9</f>
        <v>5.4444444444444446</v>
      </c>
    </row>
    <row r="12" spans="1:21" ht="13.9" customHeight="1">
      <c r="A12" s="39"/>
      <c r="B12" s="9" t="s">
        <v>96</v>
      </c>
      <c r="C12" s="10" t="s">
        <v>38</v>
      </c>
      <c r="D12" s="39"/>
      <c r="E12" s="39"/>
      <c r="F12" s="11">
        <v>10</v>
      </c>
      <c r="G12" s="41"/>
      <c r="H12" s="11">
        <v>10</v>
      </c>
      <c r="I12" s="41"/>
      <c r="J12" s="11">
        <v>10</v>
      </c>
      <c r="K12" s="41"/>
      <c r="L12" s="11">
        <v>10</v>
      </c>
      <c r="M12" s="41"/>
      <c r="N12" s="11">
        <v>10</v>
      </c>
      <c r="O12" s="41"/>
      <c r="P12" s="11">
        <v>10</v>
      </c>
      <c r="Q12" s="41"/>
      <c r="R12" s="11">
        <v>10</v>
      </c>
      <c r="S12" s="41"/>
    </row>
    <row r="13" spans="1:21" ht="13.9" customHeight="1">
      <c r="A13" s="39"/>
      <c r="B13" s="9" t="s">
        <v>97</v>
      </c>
      <c r="C13" s="10" t="s">
        <v>39</v>
      </c>
      <c r="D13" s="39"/>
      <c r="E13" s="39"/>
      <c r="F13" s="11">
        <v>2</v>
      </c>
      <c r="G13" s="41"/>
      <c r="H13" s="11">
        <v>3</v>
      </c>
      <c r="I13" s="41"/>
      <c r="J13" s="11">
        <v>2</v>
      </c>
      <c r="K13" s="41"/>
      <c r="L13" s="11">
        <v>2</v>
      </c>
      <c r="M13" s="41"/>
      <c r="N13" s="11">
        <v>3</v>
      </c>
      <c r="O13" s="41"/>
      <c r="P13" s="11">
        <v>3</v>
      </c>
      <c r="Q13" s="41"/>
      <c r="R13" s="11">
        <v>2</v>
      </c>
      <c r="S13" s="41"/>
    </row>
    <row r="14" spans="1:21">
      <c r="A14" s="39"/>
      <c r="B14" s="9" t="s">
        <v>98</v>
      </c>
      <c r="C14" s="10" t="s">
        <v>40</v>
      </c>
      <c r="D14" s="39"/>
      <c r="E14" s="39"/>
      <c r="F14" s="11">
        <v>8</v>
      </c>
      <c r="G14" s="41"/>
      <c r="H14" s="11">
        <v>8</v>
      </c>
      <c r="I14" s="41"/>
      <c r="J14" s="11">
        <v>8</v>
      </c>
      <c r="K14" s="41"/>
      <c r="L14" s="11">
        <v>7</v>
      </c>
      <c r="M14" s="41"/>
      <c r="N14" s="11">
        <v>7</v>
      </c>
      <c r="O14" s="41"/>
      <c r="P14" s="11">
        <v>7</v>
      </c>
      <c r="Q14" s="41"/>
      <c r="R14" s="11">
        <v>8</v>
      </c>
      <c r="S14" s="41"/>
    </row>
    <row r="15" spans="1:21" ht="13.9" customHeight="1">
      <c r="A15" s="39"/>
      <c r="B15" s="9" t="s">
        <v>99</v>
      </c>
      <c r="C15" s="10" t="s">
        <v>41</v>
      </c>
      <c r="D15" s="39"/>
      <c r="E15" s="39"/>
      <c r="F15" s="11">
        <v>4</v>
      </c>
      <c r="G15" s="41"/>
      <c r="H15" s="11">
        <v>3</v>
      </c>
      <c r="I15" s="41"/>
      <c r="J15" s="11">
        <v>3</v>
      </c>
      <c r="K15" s="41"/>
      <c r="L15" s="11">
        <v>1</v>
      </c>
      <c r="M15" s="41"/>
      <c r="N15" s="11">
        <v>1</v>
      </c>
      <c r="O15" s="41"/>
      <c r="P15" s="11">
        <v>4</v>
      </c>
      <c r="Q15" s="41"/>
      <c r="R15" s="11">
        <v>4</v>
      </c>
      <c r="S15" s="41"/>
    </row>
    <row r="16" spans="1:21" ht="13.9" customHeight="1">
      <c r="A16" s="39"/>
      <c r="B16" s="9" t="s">
        <v>100</v>
      </c>
      <c r="C16" s="10" t="s">
        <v>42</v>
      </c>
      <c r="D16" s="39"/>
      <c r="E16" s="39"/>
      <c r="F16" s="11">
        <v>2</v>
      </c>
      <c r="G16" s="41"/>
      <c r="H16" s="11">
        <v>4</v>
      </c>
      <c r="I16" s="41"/>
      <c r="J16" s="11">
        <v>3</v>
      </c>
      <c r="K16" s="41"/>
      <c r="L16" s="11">
        <v>4</v>
      </c>
      <c r="M16" s="41"/>
      <c r="N16" s="11">
        <v>3</v>
      </c>
      <c r="O16" s="41"/>
      <c r="P16" s="11">
        <v>5</v>
      </c>
      <c r="Q16" s="41"/>
      <c r="R16" s="11">
        <v>5</v>
      </c>
      <c r="S16" s="41"/>
    </row>
    <row r="17" spans="1:22" ht="13.9" customHeight="1">
      <c r="A17" s="39"/>
      <c r="B17" s="9" t="s">
        <v>101</v>
      </c>
      <c r="C17" s="10" t="s">
        <v>43</v>
      </c>
      <c r="D17" s="39"/>
      <c r="E17" s="39"/>
      <c r="F17" s="11">
        <v>6</v>
      </c>
      <c r="G17" s="41"/>
      <c r="H17" s="11">
        <v>8</v>
      </c>
      <c r="I17" s="41"/>
      <c r="J17" s="11">
        <v>8</v>
      </c>
      <c r="K17" s="41"/>
      <c r="L17" s="11">
        <v>7</v>
      </c>
      <c r="M17" s="41"/>
      <c r="N17" s="11">
        <v>3</v>
      </c>
      <c r="O17" s="41"/>
      <c r="P17" s="11">
        <v>5</v>
      </c>
      <c r="Q17" s="41"/>
      <c r="R17" s="11">
        <v>2</v>
      </c>
      <c r="S17" s="41"/>
    </row>
    <row r="18" spans="1:22" ht="13.9" customHeight="1">
      <c r="A18" s="39"/>
      <c r="B18" s="9" t="s">
        <v>102</v>
      </c>
      <c r="C18" s="10" t="s">
        <v>44</v>
      </c>
      <c r="D18" s="39"/>
      <c r="E18" s="39"/>
      <c r="F18" s="11">
        <v>10</v>
      </c>
      <c r="G18" s="41"/>
      <c r="H18" s="11">
        <v>9</v>
      </c>
      <c r="I18" s="41"/>
      <c r="J18" s="11">
        <v>10</v>
      </c>
      <c r="K18" s="41"/>
      <c r="L18" s="11">
        <v>6</v>
      </c>
      <c r="M18" s="41"/>
      <c r="N18" s="11">
        <v>10</v>
      </c>
      <c r="O18" s="41"/>
      <c r="P18" s="11">
        <v>9</v>
      </c>
      <c r="Q18" s="41"/>
      <c r="R18" s="11">
        <v>9</v>
      </c>
      <c r="S18" s="41"/>
    </row>
    <row r="19" spans="1:22" ht="13.9" customHeight="1">
      <c r="A19" s="39"/>
      <c r="B19" s="9" t="s">
        <v>103</v>
      </c>
      <c r="C19" s="10" t="s">
        <v>45</v>
      </c>
      <c r="D19" s="39"/>
      <c r="E19" s="39"/>
      <c r="F19" s="11">
        <v>1</v>
      </c>
      <c r="G19" s="41"/>
      <c r="H19" s="11">
        <v>2</v>
      </c>
      <c r="I19" s="42"/>
      <c r="J19" s="11">
        <v>1</v>
      </c>
      <c r="K19" s="41"/>
      <c r="L19" s="11">
        <v>1</v>
      </c>
      <c r="M19" s="41"/>
      <c r="N19" s="11">
        <v>1</v>
      </c>
      <c r="O19" s="41"/>
      <c r="P19" s="11">
        <v>1</v>
      </c>
      <c r="Q19" s="41"/>
      <c r="R19" s="11">
        <v>1</v>
      </c>
      <c r="S19" s="41"/>
    </row>
    <row r="20" spans="1:22">
      <c r="A20" s="35" t="s">
        <v>5</v>
      </c>
      <c r="B20" s="2" t="s">
        <v>95</v>
      </c>
      <c r="C20" s="3" t="s">
        <v>4</v>
      </c>
      <c r="D20" s="35" t="s">
        <v>7</v>
      </c>
      <c r="E20" s="35" t="s">
        <v>10</v>
      </c>
      <c r="F20" s="4">
        <v>5</v>
      </c>
      <c r="G20" s="32">
        <v>2.8888888888888888</v>
      </c>
      <c r="H20" s="4">
        <v>4</v>
      </c>
      <c r="I20" s="32">
        <v>3.4444444444444446</v>
      </c>
      <c r="J20" s="4">
        <v>7</v>
      </c>
      <c r="K20" s="32">
        <v>3.5555555555555554</v>
      </c>
      <c r="L20" s="4">
        <v>5</v>
      </c>
      <c r="M20" s="32">
        <v>3.1111111111111112</v>
      </c>
      <c r="N20" s="4">
        <v>5</v>
      </c>
      <c r="O20" s="32">
        <v>2.8888888888888888</v>
      </c>
      <c r="P20" s="4">
        <v>8</v>
      </c>
      <c r="Q20" s="32">
        <f t="shared" ref="Q20" si="2">SUM(P20:P28)/9</f>
        <v>3.6666666666666665</v>
      </c>
      <c r="R20" s="4">
        <v>1</v>
      </c>
      <c r="S20" s="32">
        <f t="shared" ref="S20" si="3">SUM(R20:R28)/9</f>
        <v>3</v>
      </c>
    </row>
    <row r="21" spans="1:22">
      <c r="A21" s="36"/>
      <c r="B21" s="2" t="s">
        <v>96</v>
      </c>
      <c r="C21" s="3" t="s">
        <v>38</v>
      </c>
      <c r="D21" s="36"/>
      <c r="E21" s="36"/>
      <c r="F21" s="4">
        <v>1</v>
      </c>
      <c r="G21" s="33"/>
      <c r="H21" s="4">
        <v>1</v>
      </c>
      <c r="I21" s="33"/>
      <c r="J21" s="4">
        <v>1</v>
      </c>
      <c r="K21" s="33"/>
      <c r="L21" s="4">
        <v>1</v>
      </c>
      <c r="M21" s="33"/>
      <c r="N21" s="4">
        <v>1</v>
      </c>
      <c r="O21" s="33"/>
      <c r="P21" s="4">
        <v>5</v>
      </c>
      <c r="Q21" s="33"/>
      <c r="R21" s="4">
        <v>4</v>
      </c>
      <c r="S21" s="33"/>
    </row>
    <row r="22" spans="1:22">
      <c r="A22" s="36"/>
      <c r="B22" s="2" t="s">
        <v>97</v>
      </c>
      <c r="C22" s="3" t="s">
        <v>39</v>
      </c>
      <c r="D22" s="36"/>
      <c r="E22" s="36"/>
      <c r="F22" s="4">
        <v>1</v>
      </c>
      <c r="G22" s="33"/>
      <c r="H22" s="4">
        <v>1</v>
      </c>
      <c r="I22" s="33"/>
      <c r="J22" s="4">
        <v>1</v>
      </c>
      <c r="K22" s="33"/>
      <c r="L22" s="4">
        <v>2</v>
      </c>
      <c r="M22" s="33"/>
      <c r="N22" s="4">
        <v>1</v>
      </c>
      <c r="O22" s="33"/>
      <c r="P22" s="4">
        <v>2</v>
      </c>
      <c r="Q22" s="33"/>
      <c r="R22" s="4">
        <v>1</v>
      </c>
      <c r="S22" s="33"/>
    </row>
    <row r="23" spans="1:22">
      <c r="A23" s="36"/>
      <c r="B23" s="2" t="s">
        <v>98</v>
      </c>
      <c r="C23" s="3" t="s">
        <v>40</v>
      </c>
      <c r="D23" s="36"/>
      <c r="E23" s="36"/>
      <c r="F23" s="4">
        <v>6</v>
      </c>
      <c r="G23" s="33"/>
      <c r="H23" s="4">
        <v>7</v>
      </c>
      <c r="I23" s="33"/>
      <c r="J23" s="4">
        <v>7</v>
      </c>
      <c r="K23" s="33"/>
      <c r="L23" s="4">
        <v>6</v>
      </c>
      <c r="M23" s="33"/>
      <c r="N23" s="4">
        <v>6</v>
      </c>
      <c r="O23" s="33"/>
      <c r="P23" s="4">
        <v>5</v>
      </c>
      <c r="Q23" s="33"/>
      <c r="R23" s="4">
        <v>7</v>
      </c>
      <c r="S23" s="33"/>
    </row>
    <row r="24" spans="1:22">
      <c r="A24" s="36"/>
      <c r="B24" s="2" t="s">
        <v>99</v>
      </c>
      <c r="C24" s="3" t="s">
        <v>41</v>
      </c>
      <c r="D24" s="36"/>
      <c r="E24" s="36"/>
      <c r="F24" s="4">
        <v>1</v>
      </c>
      <c r="G24" s="33"/>
      <c r="H24" s="4">
        <v>1</v>
      </c>
      <c r="I24" s="33"/>
      <c r="J24" s="4">
        <v>2</v>
      </c>
      <c r="K24" s="33"/>
      <c r="L24" s="4">
        <v>2</v>
      </c>
      <c r="M24" s="33"/>
      <c r="N24" s="4">
        <v>2</v>
      </c>
      <c r="O24" s="33"/>
      <c r="P24" s="4">
        <v>1</v>
      </c>
      <c r="Q24" s="33"/>
      <c r="R24" s="4">
        <v>1</v>
      </c>
      <c r="S24" s="33"/>
    </row>
    <row r="25" spans="1:22">
      <c r="A25" s="36"/>
      <c r="B25" s="2" t="s">
        <v>100</v>
      </c>
      <c r="C25" s="3" t="s">
        <v>42</v>
      </c>
      <c r="D25" s="36"/>
      <c r="E25" s="36"/>
      <c r="F25" s="4">
        <v>1</v>
      </c>
      <c r="G25" s="33"/>
      <c r="H25" s="4">
        <v>3</v>
      </c>
      <c r="I25" s="33"/>
      <c r="J25" s="4">
        <v>4</v>
      </c>
      <c r="K25" s="33"/>
      <c r="L25" s="4">
        <v>3</v>
      </c>
      <c r="M25" s="33"/>
      <c r="N25" s="4">
        <v>3</v>
      </c>
      <c r="O25" s="33"/>
      <c r="P25" s="4">
        <v>4</v>
      </c>
      <c r="Q25" s="33"/>
      <c r="R25" s="4">
        <v>4</v>
      </c>
      <c r="S25" s="33"/>
    </row>
    <row r="26" spans="1:22">
      <c r="A26" s="36"/>
      <c r="B26" s="2" t="s">
        <v>101</v>
      </c>
      <c r="C26" s="3" t="s">
        <v>43</v>
      </c>
      <c r="D26" s="36"/>
      <c r="E26" s="36"/>
      <c r="F26" s="4">
        <v>3</v>
      </c>
      <c r="G26" s="33"/>
      <c r="H26" s="4">
        <v>4</v>
      </c>
      <c r="I26" s="33"/>
      <c r="J26" s="4">
        <v>2</v>
      </c>
      <c r="K26" s="33"/>
      <c r="L26" s="4">
        <v>2</v>
      </c>
      <c r="M26" s="33"/>
      <c r="N26" s="4">
        <v>1</v>
      </c>
      <c r="O26" s="33"/>
      <c r="P26" s="4">
        <v>1</v>
      </c>
      <c r="Q26" s="33"/>
      <c r="R26" s="4">
        <v>2</v>
      </c>
      <c r="S26" s="33"/>
    </row>
    <row r="27" spans="1:22">
      <c r="A27" s="36"/>
      <c r="B27" s="2" t="s">
        <v>102</v>
      </c>
      <c r="C27" s="3" t="s">
        <v>44</v>
      </c>
      <c r="D27" s="36"/>
      <c r="E27" s="36"/>
      <c r="F27" s="4">
        <v>7</v>
      </c>
      <c r="G27" s="33"/>
      <c r="H27" s="4">
        <v>9</v>
      </c>
      <c r="I27" s="33"/>
      <c r="J27" s="4">
        <v>7</v>
      </c>
      <c r="K27" s="33"/>
      <c r="L27" s="4">
        <v>6</v>
      </c>
      <c r="M27" s="33"/>
      <c r="N27" s="4">
        <v>6</v>
      </c>
      <c r="O27" s="33"/>
      <c r="P27" s="4">
        <v>6</v>
      </c>
      <c r="Q27" s="33"/>
      <c r="R27" s="4">
        <v>6</v>
      </c>
      <c r="S27" s="33"/>
      <c r="V27" s="30"/>
    </row>
    <row r="28" spans="1:22">
      <c r="A28" s="36"/>
      <c r="B28" s="2" t="s">
        <v>103</v>
      </c>
      <c r="C28" s="3" t="s">
        <v>45</v>
      </c>
      <c r="D28" s="36"/>
      <c r="E28" s="36"/>
      <c r="F28" s="4">
        <v>1</v>
      </c>
      <c r="G28" s="33"/>
      <c r="H28" s="4">
        <v>1</v>
      </c>
      <c r="I28" s="33"/>
      <c r="J28" s="4">
        <v>1</v>
      </c>
      <c r="K28" s="33"/>
      <c r="L28" s="4">
        <v>1</v>
      </c>
      <c r="M28" s="33"/>
      <c r="N28" s="4">
        <v>1</v>
      </c>
      <c r="O28" s="33"/>
      <c r="P28" s="4">
        <v>1</v>
      </c>
      <c r="Q28" s="33"/>
      <c r="R28" s="4">
        <v>1</v>
      </c>
      <c r="S28" s="33"/>
    </row>
    <row r="29" spans="1:22">
      <c r="A29" s="38" t="s">
        <v>5</v>
      </c>
      <c r="B29" s="9" t="s">
        <v>95</v>
      </c>
      <c r="C29" s="10" t="s">
        <v>4</v>
      </c>
      <c r="D29" s="38" t="s">
        <v>7</v>
      </c>
      <c r="E29" s="38" t="s">
        <v>11</v>
      </c>
      <c r="F29" s="11">
        <v>6</v>
      </c>
      <c r="G29" s="40">
        <v>4.7777777777777777</v>
      </c>
      <c r="H29" s="11">
        <v>6</v>
      </c>
      <c r="I29" s="40">
        <v>5.2222222222222223</v>
      </c>
      <c r="J29" s="11">
        <v>5</v>
      </c>
      <c r="K29" s="40">
        <v>5.5555555555555554</v>
      </c>
      <c r="L29" s="11">
        <v>7</v>
      </c>
      <c r="M29" s="40">
        <v>5.4444444444444446</v>
      </c>
      <c r="N29" s="11">
        <v>7</v>
      </c>
      <c r="O29" s="40">
        <v>5.5555555555555554</v>
      </c>
      <c r="P29" s="11">
        <v>9</v>
      </c>
      <c r="Q29" s="40">
        <f t="shared" ref="Q29" si="4">SUM(P29:P37)/9</f>
        <v>6.666666666666667</v>
      </c>
      <c r="R29" s="11">
        <v>10</v>
      </c>
      <c r="S29" s="40">
        <f t="shared" ref="S29" si="5">SUM(R29:R37)/9</f>
        <v>6.333333333333333</v>
      </c>
    </row>
    <row r="30" spans="1:22">
      <c r="A30" s="39"/>
      <c r="B30" s="9" t="s">
        <v>96</v>
      </c>
      <c r="C30" s="10" t="s">
        <v>38</v>
      </c>
      <c r="D30" s="39"/>
      <c r="E30" s="39"/>
      <c r="F30" s="11">
        <v>10</v>
      </c>
      <c r="G30" s="41"/>
      <c r="H30" s="11">
        <v>10</v>
      </c>
      <c r="I30" s="41"/>
      <c r="J30" s="11">
        <v>9</v>
      </c>
      <c r="K30" s="41"/>
      <c r="L30" s="11">
        <v>9</v>
      </c>
      <c r="M30" s="41"/>
      <c r="N30" s="11">
        <v>8</v>
      </c>
      <c r="O30" s="41"/>
      <c r="P30" s="11">
        <v>9</v>
      </c>
      <c r="Q30" s="41"/>
      <c r="R30" s="11">
        <v>8</v>
      </c>
      <c r="S30" s="41"/>
    </row>
    <row r="31" spans="1:22">
      <c r="A31" s="39"/>
      <c r="B31" s="9" t="s">
        <v>97</v>
      </c>
      <c r="C31" s="10" t="s">
        <v>39</v>
      </c>
      <c r="D31" s="39"/>
      <c r="E31" s="39"/>
      <c r="F31" s="11">
        <v>1</v>
      </c>
      <c r="G31" s="41"/>
      <c r="H31" s="11">
        <v>1</v>
      </c>
      <c r="I31" s="41"/>
      <c r="J31" s="11">
        <v>2</v>
      </c>
      <c r="K31" s="41"/>
      <c r="L31" s="11">
        <v>2</v>
      </c>
      <c r="M31" s="41"/>
      <c r="N31" s="11">
        <v>2</v>
      </c>
      <c r="O31" s="41"/>
      <c r="P31" s="11">
        <v>9</v>
      </c>
      <c r="Q31" s="41"/>
      <c r="R31" s="11">
        <v>4</v>
      </c>
      <c r="S31" s="41"/>
    </row>
    <row r="32" spans="1:22">
      <c r="A32" s="39"/>
      <c r="B32" s="9" t="s">
        <v>98</v>
      </c>
      <c r="C32" s="10" t="s">
        <v>40</v>
      </c>
      <c r="D32" s="39"/>
      <c r="E32" s="39"/>
      <c r="F32" s="11">
        <v>7</v>
      </c>
      <c r="G32" s="41"/>
      <c r="H32" s="11">
        <v>8</v>
      </c>
      <c r="I32" s="41"/>
      <c r="J32" s="11">
        <v>8</v>
      </c>
      <c r="K32" s="41"/>
      <c r="L32" s="11">
        <v>7</v>
      </c>
      <c r="M32" s="41"/>
      <c r="N32" s="11">
        <v>7</v>
      </c>
      <c r="O32" s="41"/>
      <c r="P32" s="11">
        <v>6</v>
      </c>
      <c r="Q32" s="41"/>
      <c r="R32" s="11">
        <v>7</v>
      </c>
      <c r="S32" s="41"/>
    </row>
    <row r="33" spans="1:19">
      <c r="A33" s="39"/>
      <c r="B33" s="9" t="s">
        <v>99</v>
      </c>
      <c r="C33" s="10" t="s">
        <v>41</v>
      </c>
      <c r="D33" s="39"/>
      <c r="E33" s="39"/>
      <c r="F33" s="11">
        <v>4</v>
      </c>
      <c r="G33" s="41"/>
      <c r="H33" s="11">
        <v>4</v>
      </c>
      <c r="I33" s="41"/>
      <c r="J33" s="11">
        <v>5</v>
      </c>
      <c r="K33" s="41"/>
      <c r="L33" s="11">
        <v>4</v>
      </c>
      <c r="M33" s="41"/>
      <c r="N33" s="11">
        <v>4</v>
      </c>
      <c r="O33" s="41"/>
      <c r="P33" s="11">
        <v>4</v>
      </c>
      <c r="Q33" s="41"/>
      <c r="R33" s="11">
        <v>4</v>
      </c>
      <c r="S33" s="41"/>
    </row>
    <row r="34" spans="1:19">
      <c r="A34" s="39"/>
      <c r="B34" s="9" t="s">
        <v>100</v>
      </c>
      <c r="C34" s="10" t="s">
        <v>42</v>
      </c>
      <c r="D34" s="39"/>
      <c r="E34" s="39"/>
      <c r="F34" s="11">
        <v>4</v>
      </c>
      <c r="G34" s="41"/>
      <c r="H34" s="11">
        <v>4</v>
      </c>
      <c r="I34" s="41"/>
      <c r="J34" s="11">
        <v>5</v>
      </c>
      <c r="K34" s="41"/>
      <c r="L34" s="11">
        <v>5</v>
      </c>
      <c r="M34" s="41"/>
      <c r="N34" s="11">
        <v>5</v>
      </c>
      <c r="O34" s="41"/>
      <c r="P34" s="11">
        <v>6</v>
      </c>
      <c r="Q34" s="41"/>
      <c r="R34" s="11">
        <v>6</v>
      </c>
      <c r="S34" s="41"/>
    </row>
    <row r="35" spans="1:19">
      <c r="A35" s="39"/>
      <c r="B35" s="9" t="s">
        <v>101</v>
      </c>
      <c r="C35" s="10" t="s">
        <v>43</v>
      </c>
      <c r="D35" s="39"/>
      <c r="E35" s="39"/>
      <c r="F35" s="11">
        <v>2</v>
      </c>
      <c r="G35" s="41"/>
      <c r="H35" s="11">
        <v>4</v>
      </c>
      <c r="I35" s="41"/>
      <c r="J35" s="11">
        <v>4</v>
      </c>
      <c r="K35" s="41"/>
      <c r="L35" s="11">
        <v>4</v>
      </c>
      <c r="M35" s="41"/>
      <c r="N35" s="11">
        <v>4</v>
      </c>
      <c r="O35" s="41"/>
      <c r="P35" s="11">
        <v>5</v>
      </c>
      <c r="Q35" s="41"/>
      <c r="R35" s="11">
        <v>6</v>
      </c>
      <c r="S35" s="41"/>
    </row>
    <row r="36" spans="1:19">
      <c r="A36" s="39"/>
      <c r="B36" s="9" t="s">
        <v>102</v>
      </c>
      <c r="C36" s="10" t="s">
        <v>44</v>
      </c>
      <c r="D36" s="39"/>
      <c r="E36" s="39"/>
      <c r="F36" s="11">
        <v>8</v>
      </c>
      <c r="G36" s="41"/>
      <c r="H36" s="11">
        <v>8</v>
      </c>
      <c r="I36" s="41"/>
      <c r="J36" s="11">
        <v>9</v>
      </c>
      <c r="K36" s="41"/>
      <c r="L36" s="11">
        <v>8</v>
      </c>
      <c r="M36" s="41"/>
      <c r="N36" s="11">
        <v>9</v>
      </c>
      <c r="O36" s="41"/>
      <c r="P36" s="11">
        <v>10</v>
      </c>
      <c r="Q36" s="41"/>
      <c r="R36" s="11">
        <v>10</v>
      </c>
      <c r="S36" s="41"/>
    </row>
    <row r="37" spans="1:19">
      <c r="A37" s="39"/>
      <c r="B37" s="9" t="s">
        <v>103</v>
      </c>
      <c r="C37" s="10" t="s">
        <v>45</v>
      </c>
      <c r="D37" s="39"/>
      <c r="E37" s="39"/>
      <c r="F37" s="11">
        <v>1</v>
      </c>
      <c r="G37" s="41"/>
      <c r="H37" s="11">
        <v>2</v>
      </c>
      <c r="I37" s="41"/>
      <c r="J37" s="11">
        <v>3</v>
      </c>
      <c r="K37" s="41"/>
      <c r="L37" s="11">
        <v>3</v>
      </c>
      <c r="M37" s="41"/>
      <c r="N37" s="11">
        <v>4</v>
      </c>
      <c r="O37" s="41"/>
      <c r="P37" s="11">
        <v>2</v>
      </c>
      <c r="Q37" s="41"/>
      <c r="R37" s="11">
        <v>2</v>
      </c>
      <c r="S37" s="41"/>
    </row>
    <row r="38" spans="1:19">
      <c r="A38" s="35" t="s">
        <v>5</v>
      </c>
      <c r="B38" s="2" t="s">
        <v>95</v>
      </c>
      <c r="C38" s="3" t="s">
        <v>4</v>
      </c>
      <c r="D38" s="35" t="s">
        <v>7</v>
      </c>
      <c r="E38" s="35" t="s">
        <v>12</v>
      </c>
      <c r="F38" s="4">
        <v>1</v>
      </c>
      <c r="G38" s="32">
        <v>5.1111111111111107</v>
      </c>
      <c r="H38" s="4">
        <v>1</v>
      </c>
      <c r="I38" s="32">
        <v>4.7777777777777777</v>
      </c>
      <c r="J38" s="4">
        <v>1</v>
      </c>
      <c r="K38" s="32">
        <v>5</v>
      </c>
      <c r="L38" s="4">
        <v>3</v>
      </c>
      <c r="M38" s="32">
        <v>4.4444444444444446</v>
      </c>
      <c r="N38" s="4">
        <v>1</v>
      </c>
      <c r="O38" s="32">
        <v>4.5555555555555554</v>
      </c>
      <c r="P38" s="4">
        <v>6</v>
      </c>
      <c r="Q38" s="32">
        <f t="shared" ref="Q38" si="6">SUM(P38:P46)/9</f>
        <v>5.5555555555555554</v>
      </c>
      <c r="R38" s="4">
        <v>9</v>
      </c>
      <c r="S38" s="32">
        <f t="shared" ref="S38" si="7">SUM(R38:R46)/9</f>
        <v>6.1111111111111107</v>
      </c>
    </row>
    <row r="39" spans="1:19">
      <c r="A39" s="36"/>
      <c r="B39" s="2" t="s">
        <v>96</v>
      </c>
      <c r="C39" s="3" t="s">
        <v>38</v>
      </c>
      <c r="D39" s="36"/>
      <c r="E39" s="36"/>
      <c r="F39" s="4">
        <v>10</v>
      </c>
      <c r="G39" s="33"/>
      <c r="H39" s="4">
        <v>10</v>
      </c>
      <c r="I39" s="33"/>
      <c r="J39" s="4">
        <v>9</v>
      </c>
      <c r="K39" s="33"/>
      <c r="L39" s="4">
        <v>9</v>
      </c>
      <c r="M39" s="33"/>
      <c r="N39" s="4">
        <v>9</v>
      </c>
      <c r="O39" s="33"/>
      <c r="P39" s="4">
        <v>8</v>
      </c>
      <c r="Q39" s="33"/>
      <c r="R39" s="4">
        <v>10</v>
      </c>
      <c r="S39" s="33"/>
    </row>
    <row r="40" spans="1:19">
      <c r="A40" s="36"/>
      <c r="B40" s="2" t="s">
        <v>97</v>
      </c>
      <c r="C40" s="3" t="s">
        <v>39</v>
      </c>
      <c r="D40" s="36"/>
      <c r="E40" s="36"/>
      <c r="F40" s="4">
        <v>1</v>
      </c>
      <c r="G40" s="33"/>
      <c r="H40" s="4">
        <v>2</v>
      </c>
      <c r="I40" s="33"/>
      <c r="J40" s="4">
        <v>2</v>
      </c>
      <c r="K40" s="33"/>
      <c r="L40" s="4">
        <v>1</v>
      </c>
      <c r="M40" s="33"/>
      <c r="N40" s="4">
        <v>1</v>
      </c>
      <c r="O40" s="33"/>
      <c r="P40" s="4">
        <v>1</v>
      </c>
      <c r="Q40" s="33"/>
      <c r="R40" s="4">
        <v>2</v>
      </c>
      <c r="S40" s="33"/>
    </row>
    <row r="41" spans="1:19">
      <c r="A41" s="36"/>
      <c r="B41" s="2" t="s">
        <v>98</v>
      </c>
      <c r="C41" s="3" t="s">
        <v>40</v>
      </c>
      <c r="D41" s="36"/>
      <c r="E41" s="36"/>
      <c r="F41" s="4">
        <v>10</v>
      </c>
      <c r="G41" s="33"/>
      <c r="H41" s="4">
        <v>10</v>
      </c>
      <c r="I41" s="33"/>
      <c r="J41" s="4">
        <v>10</v>
      </c>
      <c r="K41" s="33"/>
      <c r="L41" s="4">
        <v>9</v>
      </c>
      <c r="M41" s="33"/>
      <c r="N41" s="4">
        <v>9</v>
      </c>
      <c r="O41" s="33"/>
      <c r="P41" s="4">
        <v>10</v>
      </c>
      <c r="Q41" s="33"/>
      <c r="R41" s="4">
        <v>9</v>
      </c>
      <c r="S41" s="33"/>
    </row>
    <row r="42" spans="1:19">
      <c r="A42" s="36"/>
      <c r="B42" s="2" t="s">
        <v>99</v>
      </c>
      <c r="C42" s="3" t="s">
        <v>41</v>
      </c>
      <c r="D42" s="36"/>
      <c r="E42" s="36"/>
      <c r="F42" s="4">
        <v>5</v>
      </c>
      <c r="G42" s="33"/>
      <c r="H42" s="4">
        <v>4</v>
      </c>
      <c r="I42" s="33"/>
      <c r="J42" s="4">
        <v>4</v>
      </c>
      <c r="K42" s="33"/>
      <c r="L42" s="4">
        <v>2</v>
      </c>
      <c r="M42" s="33"/>
      <c r="N42" s="4">
        <v>2</v>
      </c>
      <c r="O42" s="33"/>
      <c r="P42" s="4">
        <v>5</v>
      </c>
      <c r="Q42" s="33"/>
      <c r="R42" s="4">
        <v>5</v>
      </c>
      <c r="S42" s="33"/>
    </row>
    <row r="43" spans="1:19">
      <c r="A43" s="36"/>
      <c r="B43" s="2" t="s">
        <v>100</v>
      </c>
      <c r="C43" s="3" t="s">
        <v>42</v>
      </c>
      <c r="D43" s="36"/>
      <c r="E43" s="36"/>
      <c r="F43" s="4">
        <v>2</v>
      </c>
      <c r="G43" s="33"/>
      <c r="H43" s="4">
        <v>1</v>
      </c>
      <c r="I43" s="33"/>
      <c r="J43" s="4">
        <v>2</v>
      </c>
      <c r="K43" s="33"/>
      <c r="L43" s="4">
        <v>1</v>
      </c>
      <c r="M43" s="33"/>
      <c r="N43" s="4">
        <v>3</v>
      </c>
      <c r="O43" s="33"/>
      <c r="P43" s="4">
        <v>4</v>
      </c>
      <c r="Q43" s="33"/>
      <c r="R43" s="4">
        <v>4</v>
      </c>
      <c r="S43" s="33"/>
    </row>
    <row r="44" spans="1:19">
      <c r="A44" s="36"/>
      <c r="B44" s="2" t="s">
        <v>101</v>
      </c>
      <c r="C44" s="3" t="s">
        <v>43</v>
      </c>
      <c r="D44" s="36"/>
      <c r="E44" s="36"/>
      <c r="F44" s="4">
        <v>7</v>
      </c>
      <c r="G44" s="33"/>
      <c r="H44" s="4">
        <v>7</v>
      </c>
      <c r="I44" s="33"/>
      <c r="J44" s="4">
        <v>7</v>
      </c>
      <c r="K44" s="33"/>
      <c r="L44" s="4">
        <v>7</v>
      </c>
      <c r="M44" s="33"/>
      <c r="N44" s="4">
        <v>7</v>
      </c>
      <c r="O44" s="33"/>
      <c r="P44" s="4">
        <v>6</v>
      </c>
      <c r="Q44" s="33"/>
      <c r="R44" s="4">
        <v>6</v>
      </c>
      <c r="S44" s="33"/>
    </row>
    <row r="45" spans="1:19">
      <c r="A45" s="36"/>
      <c r="B45" s="2" t="s">
        <v>102</v>
      </c>
      <c r="C45" s="3" t="s">
        <v>44</v>
      </c>
      <c r="D45" s="36"/>
      <c r="E45" s="36"/>
      <c r="F45" s="4">
        <v>9</v>
      </c>
      <c r="G45" s="33"/>
      <c r="H45" s="4">
        <v>7</v>
      </c>
      <c r="I45" s="33"/>
      <c r="J45" s="4">
        <v>9</v>
      </c>
      <c r="K45" s="33"/>
      <c r="L45" s="4">
        <v>7</v>
      </c>
      <c r="M45" s="33"/>
      <c r="N45" s="4">
        <v>8</v>
      </c>
      <c r="O45" s="33"/>
      <c r="P45" s="4">
        <v>9</v>
      </c>
      <c r="Q45" s="33"/>
      <c r="R45" s="4">
        <v>9</v>
      </c>
      <c r="S45" s="33"/>
    </row>
    <row r="46" spans="1:19">
      <c r="A46" s="36"/>
      <c r="B46" s="2" t="s">
        <v>103</v>
      </c>
      <c r="C46" s="3" t="s">
        <v>45</v>
      </c>
      <c r="D46" s="36"/>
      <c r="E46" s="36"/>
      <c r="F46" s="4">
        <v>1</v>
      </c>
      <c r="G46" s="33"/>
      <c r="H46" s="4">
        <v>1</v>
      </c>
      <c r="I46" s="33"/>
      <c r="J46" s="4">
        <v>1</v>
      </c>
      <c r="K46" s="33"/>
      <c r="L46" s="4">
        <v>1</v>
      </c>
      <c r="M46" s="33"/>
      <c r="N46" s="4">
        <v>1</v>
      </c>
      <c r="O46" s="33"/>
      <c r="P46" s="4">
        <v>1</v>
      </c>
      <c r="Q46" s="33"/>
      <c r="R46" s="4">
        <v>1</v>
      </c>
      <c r="S46" s="33"/>
    </row>
    <row r="47" spans="1:19">
      <c r="A47" s="38" t="s">
        <v>5</v>
      </c>
      <c r="B47" s="9" t="s">
        <v>95</v>
      </c>
      <c r="C47" s="10" t="s">
        <v>4</v>
      </c>
      <c r="D47" s="38" t="s">
        <v>7</v>
      </c>
      <c r="E47" s="38" t="s">
        <v>13</v>
      </c>
      <c r="F47" s="11">
        <v>3</v>
      </c>
      <c r="G47" s="40">
        <v>5.1111111111111107</v>
      </c>
      <c r="H47" s="11">
        <v>4</v>
      </c>
      <c r="I47" s="40">
        <v>5.4444444444444446</v>
      </c>
      <c r="J47" s="11">
        <v>4</v>
      </c>
      <c r="K47" s="40">
        <v>5</v>
      </c>
      <c r="L47" s="11">
        <v>5</v>
      </c>
      <c r="M47" s="40">
        <v>5.333333333333333</v>
      </c>
      <c r="N47" s="11">
        <v>4</v>
      </c>
      <c r="O47" s="40">
        <v>5.2222222222222223</v>
      </c>
      <c r="P47" s="11">
        <v>7</v>
      </c>
      <c r="Q47" s="40">
        <f t="shared" ref="Q47" si="8">SUM(P47:P55)/9</f>
        <v>4.333333333333333</v>
      </c>
      <c r="R47" s="11">
        <v>9</v>
      </c>
      <c r="S47" s="40">
        <f t="shared" ref="S47" si="9">SUM(R47:R55)/9</f>
        <v>5.7777777777777777</v>
      </c>
    </row>
    <row r="48" spans="1:19">
      <c r="A48" s="39"/>
      <c r="B48" s="9" t="s">
        <v>96</v>
      </c>
      <c r="C48" s="10" t="s">
        <v>38</v>
      </c>
      <c r="D48" s="39"/>
      <c r="E48" s="39"/>
      <c r="F48" s="11">
        <v>10</v>
      </c>
      <c r="G48" s="41"/>
      <c r="H48" s="11">
        <v>10</v>
      </c>
      <c r="I48" s="41"/>
      <c r="J48" s="11">
        <v>10</v>
      </c>
      <c r="K48" s="41"/>
      <c r="L48" s="11">
        <v>10</v>
      </c>
      <c r="M48" s="41"/>
      <c r="N48" s="11">
        <v>10</v>
      </c>
      <c r="O48" s="41"/>
      <c r="P48" s="11">
        <v>1</v>
      </c>
      <c r="Q48" s="41"/>
      <c r="R48" s="11">
        <v>10</v>
      </c>
      <c r="S48" s="41"/>
    </row>
    <row r="49" spans="1:19">
      <c r="A49" s="39"/>
      <c r="B49" s="9" t="s">
        <v>97</v>
      </c>
      <c r="C49" s="10" t="s">
        <v>39</v>
      </c>
      <c r="D49" s="39"/>
      <c r="E49" s="39"/>
      <c r="F49" s="11">
        <v>10</v>
      </c>
      <c r="G49" s="41"/>
      <c r="H49" s="11">
        <v>8</v>
      </c>
      <c r="I49" s="41"/>
      <c r="J49" s="11">
        <v>5</v>
      </c>
      <c r="K49" s="41"/>
      <c r="L49" s="11">
        <v>2</v>
      </c>
      <c r="M49" s="41"/>
      <c r="N49" s="11">
        <v>2</v>
      </c>
      <c r="O49" s="41"/>
      <c r="P49" s="11">
        <v>2</v>
      </c>
      <c r="Q49" s="41"/>
      <c r="R49" s="11">
        <v>3</v>
      </c>
      <c r="S49" s="41"/>
    </row>
    <row r="50" spans="1:19">
      <c r="A50" s="39"/>
      <c r="B50" s="9" t="s">
        <v>98</v>
      </c>
      <c r="C50" s="10" t="s">
        <v>40</v>
      </c>
      <c r="D50" s="39"/>
      <c r="E50" s="39"/>
      <c r="F50" s="11">
        <v>10</v>
      </c>
      <c r="G50" s="41"/>
      <c r="H50" s="11">
        <v>10</v>
      </c>
      <c r="I50" s="41"/>
      <c r="J50" s="11">
        <v>10</v>
      </c>
      <c r="K50" s="41"/>
      <c r="L50" s="11">
        <v>10</v>
      </c>
      <c r="M50" s="41"/>
      <c r="N50" s="11">
        <v>10</v>
      </c>
      <c r="O50" s="41"/>
      <c r="P50" s="11">
        <v>10</v>
      </c>
      <c r="Q50" s="41"/>
      <c r="R50" s="11">
        <v>10</v>
      </c>
      <c r="S50" s="41"/>
    </row>
    <row r="51" spans="1:19">
      <c r="A51" s="39"/>
      <c r="B51" s="9" t="s">
        <v>99</v>
      </c>
      <c r="C51" s="10" t="s">
        <v>41</v>
      </c>
      <c r="D51" s="39"/>
      <c r="E51" s="39"/>
      <c r="F51" s="11">
        <v>3</v>
      </c>
      <c r="G51" s="41"/>
      <c r="H51" s="11">
        <v>4</v>
      </c>
      <c r="I51" s="41"/>
      <c r="J51" s="11">
        <v>4</v>
      </c>
      <c r="K51" s="41"/>
      <c r="L51" s="11">
        <v>3</v>
      </c>
      <c r="M51" s="41"/>
      <c r="N51" s="11">
        <v>3</v>
      </c>
      <c r="O51" s="41"/>
      <c r="P51" s="11">
        <v>3</v>
      </c>
      <c r="Q51" s="41"/>
      <c r="R51" s="11">
        <v>3</v>
      </c>
      <c r="S51" s="41"/>
    </row>
    <row r="52" spans="1:19">
      <c r="A52" s="39"/>
      <c r="B52" s="9" t="s">
        <v>100</v>
      </c>
      <c r="C52" s="10" t="s">
        <v>42</v>
      </c>
      <c r="D52" s="39"/>
      <c r="E52" s="39"/>
      <c r="F52" s="11">
        <v>2</v>
      </c>
      <c r="G52" s="41"/>
      <c r="H52" s="11">
        <v>1</v>
      </c>
      <c r="I52" s="41"/>
      <c r="J52" s="11">
        <v>2</v>
      </c>
      <c r="K52" s="41"/>
      <c r="L52" s="11">
        <v>2</v>
      </c>
      <c r="M52" s="41"/>
      <c r="N52" s="11">
        <v>3</v>
      </c>
      <c r="O52" s="41"/>
      <c r="P52" s="11">
        <v>3</v>
      </c>
      <c r="Q52" s="41"/>
      <c r="R52" s="11">
        <v>3</v>
      </c>
      <c r="S52" s="41"/>
    </row>
    <row r="53" spans="1:19">
      <c r="A53" s="39"/>
      <c r="B53" s="9" t="s">
        <v>101</v>
      </c>
      <c r="C53" s="10" t="s">
        <v>43</v>
      </c>
      <c r="D53" s="39"/>
      <c r="E53" s="39"/>
      <c r="F53" s="11">
        <v>6</v>
      </c>
      <c r="G53" s="41"/>
      <c r="H53" s="11">
        <v>4</v>
      </c>
      <c r="I53" s="41"/>
      <c r="J53" s="11">
        <v>4</v>
      </c>
      <c r="K53" s="41"/>
      <c r="L53" s="11">
        <v>5</v>
      </c>
      <c r="M53" s="41"/>
      <c r="N53" s="11">
        <v>4</v>
      </c>
      <c r="O53" s="41"/>
      <c r="P53" s="11">
        <v>3</v>
      </c>
      <c r="Q53" s="41"/>
      <c r="R53" s="11">
        <v>4</v>
      </c>
      <c r="S53" s="41"/>
    </row>
    <row r="54" spans="1:19">
      <c r="A54" s="39"/>
      <c r="B54" s="9" t="s">
        <v>102</v>
      </c>
      <c r="C54" s="10" t="s">
        <v>44</v>
      </c>
      <c r="D54" s="39"/>
      <c r="E54" s="39"/>
      <c r="F54" s="11">
        <v>1</v>
      </c>
      <c r="G54" s="41"/>
      <c r="H54" s="11">
        <v>1</v>
      </c>
      <c r="I54" s="41"/>
      <c r="J54" s="11">
        <v>1</v>
      </c>
      <c r="K54" s="41"/>
      <c r="L54" s="11">
        <v>1</v>
      </c>
      <c r="M54" s="41"/>
      <c r="N54" s="11">
        <v>1</v>
      </c>
      <c r="O54" s="41"/>
      <c r="P54" s="11">
        <v>9</v>
      </c>
      <c r="Q54" s="41"/>
      <c r="R54" s="11">
        <v>9</v>
      </c>
      <c r="S54" s="41"/>
    </row>
    <row r="55" spans="1:19">
      <c r="A55" s="39"/>
      <c r="B55" s="9" t="s">
        <v>103</v>
      </c>
      <c r="C55" s="10" t="s">
        <v>45</v>
      </c>
      <c r="D55" s="39"/>
      <c r="E55" s="39"/>
      <c r="F55" s="11">
        <v>1</v>
      </c>
      <c r="G55" s="41"/>
      <c r="H55" s="11">
        <v>7</v>
      </c>
      <c r="I55" s="41"/>
      <c r="J55" s="11">
        <v>5</v>
      </c>
      <c r="K55" s="41"/>
      <c r="L55" s="11">
        <v>10</v>
      </c>
      <c r="M55" s="41"/>
      <c r="N55" s="11">
        <v>10</v>
      </c>
      <c r="O55" s="41"/>
      <c r="P55" s="11">
        <v>1</v>
      </c>
      <c r="Q55" s="41"/>
      <c r="R55" s="11">
        <v>1</v>
      </c>
      <c r="S55" s="41"/>
    </row>
    <row r="56" spans="1:19">
      <c r="A56" s="35" t="s">
        <v>5</v>
      </c>
      <c r="B56" s="2" t="s">
        <v>95</v>
      </c>
      <c r="C56" s="3" t="s">
        <v>4</v>
      </c>
      <c r="D56" s="35" t="s">
        <v>7</v>
      </c>
      <c r="E56" s="35" t="s">
        <v>73</v>
      </c>
      <c r="F56" s="4">
        <v>4</v>
      </c>
      <c r="G56" s="32">
        <v>5.7777777777777777</v>
      </c>
      <c r="H56" s="4">
        <v>5</v>
      </c>
      <c r="I56" s="32">
        <v>5.5555555555555554</v>
      </c>
      <c r="J56" s="4">
        <v>6</v>
      </c>
      <c r="K56" s="32">
        <v>5.5555555555555554</v>
      </c>
      <c r="L56" s="4">
        <v>6</v>
      </c>
      <c r="M56" s="32">
        <v>5.1111111111111107</v>
      </c>
      <c r="N56" s="4">
        <v>5</v>
      </c>
      <c r="O56" s="32">
        <v>5</v>
      </c>
      <c r="P56" s="4">
        <v>1</v>
      </c>
      <c r="Q56" s="32">
        <f t="shared" ref="Q56" si="10">SUM(P56:P64)/9</f>
        <v>4.8888888888888893</v>
      </c>
      <c r="R56" s="4">
        <v>9</v>
      </c>
      <c r="S56" s="32">
        <f t="shared" ref="S56" si="11">SUM(R56:R64)/9</f>
        <v>5.7777777777777777</v>
      </c>
    </row>
    <row r="57" spans="1:19">
      <c r="A57" s="36"/>
      <c r="B57" s="2" t="s">
        <v>96</v>
      </c>
      <c r="C57" s="3" t="s">
        <v>38</v>
      </c>
      <c r="D57" s="36"/>
      <c r="E57" s="36"/>
      <c r="F57" s="4">
        <v>9</v>
      </c>
      <c r="G57" s="33"/>
      <c r="H57" s="4">
        <v>9</v>
      </c>
      <c r="I57" s="33"/>
      <c r="J57" s="4">
        <v>9</v>
      </c>
      <c r="K57" s="33"/>
      <c r="L57" s="4">
        <v>9</v>
      </c>
      <c r="M57" s="33"/>
      <c r="N57" s="4">
        <v>9</v>
      </c>
      <c r="O57" s="33"/>
      <c r="P57" s="4">
        <v>9</v>
      </c>
      <c r="Q57" s="33"/>
      <c r="R57" s="4">
        <v>9</v>
      </c>
      <c r="S57" s="33"/>
    </row>
    <row r="58" spans="1:19">
      <c r="A58" s="36"/>
      <c r="B58" s="2" t="s">
        <v>97</v>
      </c>
      <c r="C58" s="3" t="s">
        <v>39</v>
      </c>
      <c r="D58" s="36"/>
      <c r="E58" s="36"/>
      <c r="F58" s="4">
        <v>10</v>
      </c>
      <c r="G58" s="33"/>
      <c r="H58" s="4">
        <v>7</v>
      </c>
      <c r="I58" s="33"/>
      <c r="J58" s="4">
        <v>4</v>
      </c>
      <c r="K58" s="33"/>
      <c r="L58" s="4">
        <v>3</v>
      </c>
      <c r="M58" s="33"/>
      <c r="N58" s="4">
        <v>3</v>
      </c>
      <c r="O58" s="33"/>
      <c r="P58" s="4">
        <v>3</v>
      </c>
      <c r="Q58" s="33"/>
      <c r="R58" s="4">
        <v>2</v>
      </c>
      <c r="S58" s="33"/>
    </row>
    <row r="59" spans="1:19">
      <c r="A59" s="36"/>
      <c r="B59" s="2" t="s">
        <v>98</v>
      </c>
      <c r="C59" s="3" t="s">
        <v>40</v>
      </c>
      <c r="D59" s="36"/>
      <c r="E59" s="36"/>
      <c r="F59" s="4">
        <v>1</v>
      </c>
      <c r="G59" s="33"/>
      <c r="H59" s="4">
        <v>1</v>
      </c>
      <c r="I59" s="33"/>
      <c r="J59" s="4">
        <v>1</v>
      </c>
      <c r="K59" s="33"/>
      <c r="L59" s="4">
        <v>1</v>
      </c>
      <c r="M59" s="33"/>
      <c r="N59" s="4">
        <v>1</v>
      </c>
      <c r="O59" s="33"/>
      <c r="P59" s="4">
        <v>1</v>
      </c>
      <c r="Q59" s="33"/>
      <c r="R59" s="4">
        <v>1</v>
      </c>
      <c r="S59" s="33"/>
    </row>
    <row r="60" spans="1:19">
      <c r="A60" s="36"/>
      <c r="B60" s="2" t="s">
        <v>99</v>
      </c>
      <c r="C60" s="3" t="s">
        <v>41</v>
      </c>
      <c r="D60" s="36"/>
      <c r="E60" s="36"/>
      <c r="F60" s="4">
        <v>3</v>
      </c>
      <c r="G60" s="33"/>
      <c r="H60" s="4">
        <v>3</v>
      </c>
      <c r="I60" s="33"/>
      <c r="J60" s="4">
        <v>4</v>
      </c>
      <c r="K60" s="33"/>
      <c r="L60" s="4">
        <v>2</v>
      </c>
      <c r="M60" s="33"/>
      <c r="N60" s="4">
        <v>2</v>
      </c>
      <c r="O60" s="33"/>
      <c r="P60" s="4">
        <v>5</v>
      </c>
      <c r="Q60" s="33"/>
      <c r="R60" s="4">
        <v>5</v>
      </c>
      <c r="S60" s="33"/>
    </row>
    <row r="61" spans="1:19">
      <c r="A61" s="36"/>
      <c r="B61" s="2" t="s">
        <v>100</v>
      </c>
      <c r="C61" s="3" t="s">
        <v>42</v>
      </c>
      <c r="D61" s="36"/>
      <c r="E61" s="36"/>
      <c r="F61" s="4">
        <v>6</v>
      </c>
      <c r="G61" s="33"/>
      <c r="H61" s="4">
        <v>7</v>
      </c>
      <c r="I61" s="33"/>
      <c r="J61" s="4">
        <v>8</v>
      </c>
      <c r="K61" s="33"/>
      <c r="L61" s="4">
        <v>8</v>
      </c>
      <c r="M61" s="33"/>
      <c r="N61" s="4">
        <v>8</v>
      </c>
      <c r="O61" s="33"/>
      <c r="P61" s="4">
        <v>8</v>
      </c>
      <c r="Q61" s="33"/>
      <c r="R61" s="4">
        <v>8</v>
      </c>
      <c r="S61" s="33"/>
    </row>
    <row r="62" spans="1:19">
      <c r="A62" s="36"/>
      <c r="B62" s="2" t="s">
        <v>101</v>
      </c>
      <c r="C62" s="3" t="s">
        <v>43</v>
      </c>
      <c r="D62" s="36"/>
      <c r="E62" s="36"/>
      <c r="F62" s="4">
        <v>8</v>
      </c>
      <c r="G62" s="33"/>
      <c r="H62" s="4">
        <v>7</v>
      </c>
      <c r="I62" s="33"/>
      <c r="J62" s="4">
        <v>7</v>
      </c>
      <c r="K62" s="33"/>
      <c r="L62" s="4">
        <v>6</v>
      </c>
      <c r="M62" s="33"/>
      <c r="N62" s="4">
        <v>7</v>
      </c>
      <c r="O62" s="33"/>
      <c r="P62" s="4">
        <v>6</v>
      </c>
      <c r="Q62" s="33"/>
      <c r="R62" s="4">
        <v>7</v>
      </c>
      <c r="S62" s="33"/>
    </row>
    <row r="63" spans="1:19">
      <c r="A63" s="36"/>
      <c r="B63" s="2" t="s">
        <v>102</v>
      </c>
      <c r="C63" s="3" t="s">
        <v>44</v>
      </c>
      <c r="D63" s="36"/>
      <c r="E63" s="36"/>
      <c r="F63" s="4">
        <v>10</v>
      </c>
      <c r="G63" s="33"/>
      <c r="H63" s="4">
        <v>10</v>
      </c>
      <c r="I63" s="33"/>
      <c r="J63" s="4">
        <v>10</v>
      </c>
      <c r="K63" s="33"/>
      <c r="L63" s="4">
        <v>10</v>
      </c>
      <c r="M63" s="33"/>
      <c r="N63" s="4">
        <v>9</v>
      </c>
      <c r="O63" s="33"/>
      <c r="P63" s="4">
        <v>10</v>
      </c>
      <c r="Q63" s="33"/>
      <c r="R63" s="4">
        <v>10</v>
      </c>
      <c r="S63" s="33"/>
    </row>
    <row r="64" spans="1:19">
      <c r="A64" s="36"/>
      <c r="B64" s="2" t="s">
        <v>103</v>
      </c>
      <c r="C64" s="3" t="s">
        <v>45</v>
      </c>
      <c r="D64" s="36"/>
      <c r="E64" s="36"/>
      <c r="F64" s="4">
        <v>1</v>
      </c>
      <c r="G64" s="33"/>
      <c r="H64" s="4">
        <v>1</v>
      </c>
      <c r="I64" s="33"/>
      <c r="J64" s="4">
        <v>1</v>
      </c>
      <c r="K64" s="33"/>
      <c r="L64" s="4">
        <v>1</v>
      </c>
      <c r="M64" s="33"/>
      <c r="N64" s="4">
        <v>1</v>
      </c>
      <c r="O64" s="33"/>
      <c r="P64" s="4">
        <v>1</v>
      </c>
      <c r="Q64" s="33"/>
      <c r="R64" s="4">
        <v>1</v>
      </c>
      <c r="S64" s="33"/>
    </row>
    <row r="65" spans="1:19">
      <c r="A65" s="38" t="s">
        <v>5</v>
      </c>
      <c r="B65" s="9" t="s">
        <v>95</v>
      </c>
      <c r="C65" s="10" t="s">
        <v>4</v>
      </c>
      <c r="D65" s="38" t="s">
        <v>14</v>
      </c>
      <c r="E65" s="38" t="s">
        <v>15</v>
      </c>
      <c r="F65" s="11">
        <v>3</v>
      </c>
      <c r="G65" s="40">
        <v>4.1111111111111107</v>
      </c>
      <c r="H65" s="11">
        <v>4</v>
      </c>
      <c r="I65" s="40">
        <v>4.2222222222222223</v>
      </c>
      <c r="J65" s="11">
        <v>5</v>
      </c>
      <c r="K65" s="40">
        <v>4.666666666666667</v>
      </c>
      <c r="L65" s="11">
        <v>5</v>
      </c>
      <c r="M65" s="40">
        <v>4.2222222222222223</v>
      </c>
      <c r="N65" s="11">
        <v>5</v>
      </c>
      <c r="O65" s="40">
        <v>5</v>
      </c>
      <c r="P65" s="11">
        <v>8</v>
      </c>
      <c r="Q65" s="40">
        <f t="shared" ref="Q65" si="12">SUM(P65:P73)/9</f>
        <v>4.8888888888888893</v>
      </c>
      <c r="R65" s="11">
        <v>9</v>
      </c>
      <c r="S65" s="40">
        <f t="shared" ref="S65" si="13">SUM(R65:R73)/9</f>
        <v>5.1111111111111107</v>
      </c>
    </row>
    <row r="66" spans="1:19">
      <c r="A66" s="39"/>
      <c r="B66" s="9" t="s">
        <v>96</v>
      </c>
      <c r="C66" s="10" t="s">
        <v>38</v>
      </c>
      <c r="D66" s="39"/>
      <c r="E66" s="39"/>
      <c r="F66" s="11">
        <v>8</v>
      </c>
      <c r="G66" s="41"/>
      <c r="H66" s="11">
        <v>8</v>
      </c>
      <c r="I66" s="41"/>
      <c r="J66" s="11">
        <v>8</v>
      </c>
      <c r="K66" s="41"/>
      <c r="L66" s="11">
        <v>8</v>
      </c>
      <c r="M66" s="41"/>
      <c r="N66" s="11">
        <v>8</v>
      </c>
      <c r="O66" s="41"/>
      <c r="P66" s="11">
        <v>7</v>
      </c>
      <c r="Q66" s="41"/>
      <c r="R66" s="11">
        <v>7</v>
      </c>
      <c r="S66" s="41"/>
    </row>
    <row r="67" spans="1:19">
      <c r="A67" s="39"/>
      <c r="B67" s="9" t="s">
        <v>97</v>
      </c>
      <c r="C67" s="10" t="s">
        <v>39</v>
      </c>
      <c r="D67" s="39"/>
      <c r="E67" s="39"/>
      <c r="F67" s="11">
        <v>1</v>
      </c>
      <c r="G67" s="41"/>
      <c r="H67" s="11">
        <v>1</v>
      </c>
      <c r="I67" s="41"/>
      <c r="J67" s="11">
        <v>2</v>
      </c>
      <c r="K67" s="41"/>
      <c r="L67" s="11">
        <v>3</v>
      </c>
      <c r="M67" s="41"/>
      <c r="N67" s="11">
        <v>3</v>
      </c>
      <c r="O67" s="41"/>
      <c r="P67" s="11">
        <v>3</v>
      </c>
      <c r="Q67" s="41"/>
      <c r="R67" s="11">
        <v>4</v>
      </c>
      <c r="S67" s="41"/>
    </row>
    <row r="68" spans="1:19">
      <c r="A68" s="39"/>
      <c r="B68" s="9" t="s">
        <v>98</v>
      </c>
      <c r="C68" s="10" t="s">
        <v>40</v>
      </c>
      <c r="D68" s="39"/>
      <c r="E68" s="39"/>
      <c r="F68" s="11">
        <v>9</v>
      </c>
      <c r="G68" s="41"/>
      <c r="H68" s="11">
        <v>9</v>
      </c>
      <c r="I68" s="41"/>
      <c r="J68" s="11">
        <v>9</v>
      </c>
      <c r="K68" s="41"/>
      <c r="L68" s="11">
        <v>8</v>
      </c>
      <c r="M68" s="41"/>
      <c r="N68" s="11">
        <v>9</v>
      </c>
      <c r="O68" s="41"/>
      <c r="P68" s="11">
        <v>9</v>
      </c>
      <c r="Q68" s="41"/>
      <c r="R68" s="11">
        <v>8</v>
      </c>
      <c r="S68" s="41"/>
    </row>
    <row r="69" spans="1:19">
      <c r="A69" s="39"/>
      <c r="B69" s="9" t="s">
        <v>99</v>
      </c>
      <c r="C69" s="10" t="s">
        <v>41</v>
      </c>
      <c r="D69" s="39"/>
      <c r="E69" s="39"/>
      <c r="F69" s="11">
        <v>1</v>
      </c>
      <c r="G69" s="41"/>
      <c r="H69" s="11">
        <v>1</v>
      </c>
      <c r="I69" s="41"/>
      <c r="J69" s="11">
        <v>1</v>
      </c>
      <c r="K69" s="41"/>
      <c r="L69" s="11">
        <v>1</v>
      </c>
      <c r="M69" s="41"/>
      <c r="N69" s="11">
        <v>1</v>
      </c>
      <c r="O69" s="41"/>
      <c r="P69" s="11">
        <v>1</v>
      </c>
      <c r="Q69" s="41"/>
      <c r="R69" s="11">
        <v>1</v>
      </c>
      <c r="S69" s="41"/>
    </row>
    <row r="70" spans="1:19">
      <c r="A70" s="39"/>
      <c r="B70" s="9" t="s">
        <v>100</v>
      </c>
      <c r="C70" s="10" t="s">
        <v>42</v>
      </c>
      <c r="D70" s="39"/>
      <c r="E70" s="39"/>
      <c r="F70" s="11">
        <v>2</v>
      </c>
      <c r="G70" s="41"/>
      <c r="H70" s="11">
        <v>2</v>
      </c>
      <c r="I70" s="41"/>
      <c r="J70" s="11">
        <v>3</v>
      </c>
      <c r="K70" s="41"/>
      <c r="L70" s="11">
        <v>2</v>
      </c>
      <c r="M70" s="41"/>
      <c r="N70" s="11">
        <v>5</v>
      </c>
      <c r="O70" s="41"/>
      <c r="P70" s="11">
        <v>3</v>
      </c>
      <c r="Q70" s="41"/>
      <c r="R70" s="11">
        <v>3</v>
      </c>
      <c r="S70" s="41"/>
    </row>
    <row r="71" spans="1:19">
      <c r="A71" s="39"/>
      <c r="B71" s="9" t="s">
        <v>101</v>
      </c>
      <c r="C71" s="10" t="s">
        <v>43</v>
      </c>
      <c r="D71" s="39"/>
      <c r="E71" s="39"/>
      <c r="F71" s="11">
        <v>2</v>
      </c>
      <c r="G71" s="41"/>
      <c r="H71" s="11">
        <v>3</v>
      </c>
      <c r="I71" s="41"/>
      <c r="J71" s="11">
        <v>1</v>
      </c>
      <c r="K71" s="41"/>
      <c r="L71" s="11">
        <v>1</v>
      </c>
      <c r="M71" s="41"/>
      <c r="N71" s="11">
        <v>1</v>
      </c>
      <c r="O71" s="41"/>
      <c r="P71" s="11">
        <v>1</v>
      </c>
      <c r="Q71" s="41"/>
      <c r="R71" s="11">
        <v>2</v>
      </c>
      <c r="S71" s="41"/>
    </row>
    <row r="72" spans="1:19">
      <c r="A72" s="39"/>
      <c r="B72" s="9" t="s">
        <v>102</v>
      </c>
      <c r="C72" s="10" t="s">
        <v>44</v>
      </c>
      <c r="D72" s="39"/>
      <c r="E72" s="39"/>
      <c r="F72" s="11">
        <v>9</v>
      </c>
      <c r="G72" s="41"/>
      <c r="H72" s="11">
        <v>8</v>
      </c>
      <c r="I72" s="41"/>
      <c r="J72" s="11">
        <v>10</v>
      </c>
      <c r="K72" s="41"/>
      <c r="L72" s="11">
        <v>8</v>
      </c>
      <c r="M72" s="41"/>
      <c r="N72" s="11">
        <v>9</v>
      </c>
      <c r="O72" s="41"/>
      <c r="P72" s="11">
        <v>10</v>
      </c>
      <c r="Q72" s="41"/>
      <c r="R72" s="11">
        <v>10</v>
      </c>
      <c r="S72" s="41"/>
    </row>
    <row r="73" spans="1:19">
      <c r="A73" s="39"/>
      <c r="B73" s="9" t="s">
        <v>103</v>
      </c>
      <c r="C73" s="10" t="s">
        <v>45</v>
      </c>
      <c r="D73" s="39"/>
      <c r="E73" s="39"/>
      <c r="F73" s="11">
        <v>2</v>
      </c>
      <c r="G73" s="41"/>
      <c r="H73" s="11">
        <v>2</v>
      </c>
      <c r="I73" s="41"/>
      <c r="J73" s="11">
        <v>3</v>
      </c>
      <c r="K73" s="41"/>
      <c r="L73" s="11">
        <v>2</v>
      </c>
      <c r="M73" s="41"/>
      <c r="N73" s="11">
        <v>4</v>
      </c>
      <c r="O73" s="41"/>
      <c r="P73" s="11">
        <v>2</v>
      </c>
      <c r="Q73" s="41"/>
      <c r="R73" s="11">
        <v>2</v>
      </c>
      <c r="S73" s="41"/>
    </row>
    <row r="74" spans="1:19">
      <c r="A74" s="35" t="s">
        <v>5</v>
      </c>
      <c r="B74" s="2" t="s">
        <v>95</v>
      </c>
      <c r="C74" s="3" t="s">
        <v>4</v>
      </c>
      <c r="D74" s="35" t="s">
        <v>14</v>
      </c>
      <c r="E74" s="35" t="s">
        <v>16</v>
      </c>
      <c r="F74" s="4">
        <v>10</v>
      </c>
      <c r="G74" s="32">
        <v>4.666666666666667</v>
      </c>
      <c r="H74" s="4">
        <v>6</v>
      </c>
      <c r="I74" s="32">
        <v>4.5555555555555554</v>
      </c>
      <c r="J74" s="4">
        <v>6</v>
      </c>
      <c r="K74" s="32">
        <v>4.7777777777777777</v>
      </c>
      <c r="L74" s="4">
        <v>7</v>
      </c>
      <c r="M74" s="32">
        <v>4.8888888888888893</v>
      </c>
      <c r="N74" s="4">
        <v>7</v>
      </c>
      <c r="O74" s="32">
        <v>4.8888888888888893</v>
      </c>
      <c r="P74" s="4">
        <v>9</v>
      </c>
      <c r="Q74" s="32">
        <f t="shared" ref="Q74" si="14">SUM(P74:P82)/9</f>
        <v>4.666666666666667</v>
      </c>
      <c r="R74" s="4">
        <v>10</v>
      </c>
      <c r="S74" s="32">
        <f t="shared" ref="S74" si="15">SUM(R74:R82)/9</f>
        <v>5.7777777777777777</v>
      </c>
    </row>
    <row r="75" spans="1:19">
      <c r="A75" s="36"/>
      <c r="B75" s="2" t="s">
        <v>96</v>
      </c>
      <c r="C75" s="3" t="s">
        <v>38</v>
      </c>
      <c r="D75" s="36"/>
      <c r="E75" s="36"/>
      <c r="F75" s="4">
        <v>9</v>
      </c>
      <c r="G75" s="33"/>
      <c r="H75" s="4">
        <v>9</v>
      </c>
      <c r="I75" s="33"/>
      <c r="J75" s="4">
        <v>9</v>
      </c>
      <c r="K75" s="33"/>
      <c r="L75" s="4">
        <v>10</v>
      </c>
      <c r="M75" s="33"/>
      <c r="N75" s="4">
        <v>10</v>
      </c>
      <c r="O75" s="33"/>
      <c r="P75" s="4">
        <v>10</v>
      </c>
      <c r="Q75" s="33"/>
      <c r="R75" s="4">
        <v>10</v>
      </c>
      <c r="S75" s="33"/>
    </row>
    <row r="76" spans="1:19">
      <c r="A76" s="36"/>
      <c r="B76" s="2" t="s">
        <v>97</v>
      </c>
      <c r="C76" s="3" t="s">
        <v>39</v>
      </c>
      <c r="D76" s="36"/>
      <c r="E76" s="36"/>
      <c r="F76" s="4">
        <v>1</v>
      </c>
      <c r="G76" s="33"/>
      <c r="H76" s="4">
        <v>1</v>
      </c>
      <c r="I76" s="33"/>
      <c r="J76" s="4">
        <v>3</v>
      </c>
      <c r="K76" s="33"/>
      <c r="L76" s="4">
        <v>3</v>
      </c>
      <c r="M76" s="33"/>
      <c r="N76" s="4">
        <v>4</v>
      </c>
      <c r="O76" s="33"/>
      <c r="P76" s="4">
        <v>5</v>
      </c>
      <c r="Q76" s="33"/>
      <c r="R76" s="4">
        <v>5</v>
      </c>
      <c r="S76" s="33"/>
    </row>
    <row r="77" spans="1:19">
      <c r="A77" s="36"/>
      <c r="B77" s="2" t="s">
        <v>98</v>
      </c>
      <c r="C77" s="3" t="s">
        <v>40</v>
      </c>
      <c r="D77" s="36"/>
      <c r="E77" s="36"/>
      <c r="F77" s="4">
        <v>9</v>
      </c>
      <c r="G77" s="33"/>
      <c r="H77" s="4">
        <v>9</v>
      </c>
      <c r="I77" s="33"/>
      <c r="J77" s="4">
        <v>9</v>
      </c>
      <c r="K77" s="33"/>
      <c r="L77" s="4">
        <v>8</v>
      </c>
      <c r="M77" s="33"/>
      <c r="N77" s="4">
        <v>7</v>
      </c>
      <c r="O77" s="33"/>
      <c r="P77" s="4">
        <v>5</v>
      </c>
      <c r="Q77" s="33"/>
      <c r="R77" s="4">
        <v>6</v>
      </c>
      <c r="S77" s="33"/>
    </row>
    <row r="78" spans="1:19">
      <c r="A78" s="36"/>
      <c r="B78" s="2" t="s">
        <v>99</v>
      </c>
      <c r="C78" s="3" t="s">
        <v>41</v>
      </c>
      <c r="D78" s="36"/>
      <c r="E78" s="36"/>
      <c r="F78" s="4">
        <v>1</v>
      </c>
      <c r="G78" s="33"/>
      <c r="H78" s="4">
        <v>2</v>
      </c>
      <c r="I78" s="33"/>
      <c r="J78" s="4">
        <v>2</v>
      </c>
      <c r="K78" s="33"/>
      <c r="L78" s="4">
        <v>2</v>
      </c>
      <c r="M78" s="33"/>
      <c r="N78" s="4">
        <v>2</v>
      </c>
      <c r="O78" s="33"/>
      <c r="P78" s="4">
        <v>1</v>
      </c>
      <c r="Q78" s="33"/>
      <c r="R78" s="4">
        <v>1</v>
      </c>
      <c r="S78" s="33"/>
    </row>
    <row r="79" spans="1:19">
      <c r="A79" s="36"/>
      <c r="B79" s="2" t="s">
        <v>100</v>
      </c>
      <c r="C79" s="3" t="s">
        <v>42</v>
      </c>
      <c r="D79" s="36"/>
      <c r="E79" s="36"/>
      <c r="F79" s="4">
        <v>2</v>
      </c>
      <c r="G79" s="33"/>
      <c r="H79" s="4">
        <v>2</v>
      </c>
      <c r="I79" s="33"/>
      <c r="J79" s="4">
        <v>3</v>
      </c>
      <c r="K79" s="33"/>
      <c r="L79" s="4">
        <v>3</v>
      </c>
      <c r="M79" s="33"/>
      <c r="N79" s="4">
        <v>2</v>
      </c>
      <c r="O79" s="33"/>
      <c r="P79" s="4">
        <v>1</v>
      </c>
      <c r="Q79" s="33"/>
      <c r="R79" s="4">
        <v>1</v>
      </c>
      <c r="S79" s="33"/>
    </row>
    <row r="80" spans="1:19">
      <c r="A80" s="36"/>
      <c r="B80" s="2" t="s">
        <v>101</v>
      </c>
      <c r="C80" s="3" t="s">
        <v>43</v>
      </c>
      <c r="D80" s="36"/>
      <c r="E80" s="36"/>
      <c r="F80" s="4">
        <v>1</v>
      </c>
      <c r="G80" s="33"/>
      <c r="H80" s="4">
        <v>2</v>
      </c>
      <c r="I80" s="33"/>
      <c r="J80" s="4">
        <v>1</v>
      </c>
      <c r="K80" s="33"/>
      <c r="L80" s="4">
        <v>1</v>
      </c>
      <c r="M80" s="33"/>
      <c r="N80" s="4">
        <v>1</v>
      </c>
      <c r="O80" s="33"/>
      <c r="P80" s="4">
        <v>1</v>
      </c>
      <c r="Q80" s="33"/>
      <c r="R80" s="4">
        <v>9</v>
      </c>
      <c r="S80" s="33"/>
    </row>
    <row r="81" spans="1:19">
      <c r="A81" s="36"/>
      <c r="B81" s="2" t="s">
        <v>102</v>
      </c>
      <c r="C81" s="3" t="s">
        <v>44</v>
      </c>
      <c r="D81" s="36"/>
      <c r="E81" s="36"/>
      <c r="F81" s="4">
        <v>8</v>
      </c>
      <c r="G81" s="33"/>
      <c r="H81" s="4">
        <v>7</v>
      </c>
      <c r="I81" s="33"/>
      <c r="J81" s="4">
        <v>9</v>
      </c>
      <c r="K81" s="33"/>
      <c r="L81" s="4">
        <v>7</v>
      </c>
      <c r="M81" s="33"/>
      <c r="N81" s="4">
        <v>8</v>
      </c>
      <c r="O81" s="33"/>
      <c r="P81" s="4">
        <v>9</v>
      </c>
      <c r="Q81" s="33"/>
      <c r="R81" s="4">
        <v>9</v>
      </c>
      <c r="S81" s="33"/>
    </row>
    <row r="82" spans="1:19">
      <c r="A82" s="36"/>
      <c r="B82" s="2" t="s">
        <v>103</v>
      </c>
      <c r="C82" s="3" t="s">
        <v>45</v>
      </c>
      <c r="D82" s="36"/>
      <c r="E82" s="36"/>
      <c r="F82" s="4">
        <v>1</v>
      </c>
      <c r="G82" s="33"/>
      <c r="H82" s="4">
        <v>3</v>
      </c>
      <c r="I82" s="33"/>
      <c r="J82" s="4">
        <v>1</v>
      </c>
      <c r="K82" s="33"/>
      <c r="L82" s="4">
        <v>3</v>
      </c>
      <c r="M82" s="33"/>
      <c r="N82" s="4">
        <v>3</v>
      </c>
      <c r="O82" s="33"/>
      <c r="P82" s="4">
        <v>1</v>
      </c>
      <c r="Q82" s="33"/>
      <c r="R82" s="4">
        <v>1</v>
      </c>
      <c r="S82" s="33"/>
    </row>
    <row r="83" spans="1:19">
      <c r="A83" s="38" t="s">
        <v>5</v>
      </c>
      <c r="B83" s="9" t="s">
        <v>95</v>
      </c>
      <c r="C83" s="10" t="s">
        <v>4</v>
      </c>
      <c r="D83" s="38" t="s">
        <v>14</v>
      </c>
      <c r="E83" s="38" t="s">
        <v>17</v>
      </c>
      <c r="F83" s="11">
        <v>7</v>
      </c>
      <c r="G83" s="40">
        <v>5.7777777777777777</v>
      </c>
      <c r="H83" s="11">
        <v>7</v>
      </c>
      <c r="I83" s="40">
        <v>5.666666666666667</v>
      </c>
      <c r="J83" s="11">
        <v>8</v>
      </c>
      <c r="K83" s="40">
        <v>5.7777777777777777</v>
      </c>
      <c r="L83" s="11">
        <v>7</v>
      </c>
      <c r="M83" s="40">
        <v>5.8888888888888893</v>
      </c>
      <c r="N83" s="11">
        <v>8</v>
      </c>
      <c r="O83" s="40">
        <v>5.7777777777777777</v>
      </c>
      <c r="P83" s="11">
        <v>9</v>
      </c>
      <c r="Q83" s="40">
        <f t="shared" ref="Q83" si="16">SUM(P83:P91)/9</f>
        <v>5.666666666666667</v>
      </c>
      <c r="R83" s="11">
        <v>10</v>
      </c>
      <c r="S83" s="40">
        <f t="shared" ref="S83" si="17">SUM(R83:R91)/9</f>
        <v>6.666666666666667</v>
      </c>
    </row>
    <row r="84" spans="1:19">
      <c r="A84" s="39"/>
      <c r="B84" s="9" t="s">
        <v>96</v>
      </c>
      <c r="C84" s="10" t="s">
        <v>38</v>
      </c>
      <c r="D84" s="39"/>
      <c r="E84" s="39"/>
      <c r="F84" s="11">
        <v>8</v>
      </c>
      <c r="G84" s="41"/>
      <c r="H84" s="11">
        <v>9</v>
      </c>
      <c r="I84" s="41"/>
      <c r="J84" s="11">
        <v>9</v>
      </c>
      <c r="K84" s="41"/>
      <c r="L84" s="11">
        <v>9</v>
      </c>
      <c r="M84" s="41"/>
      <c r="N84" s="11">
        <v>9</v>
      </c>
      <c r="O84" s="41"/>
      <c r="P84" s="11">
        <v>9</v>
      </c>
      <c r="Q84" s="41"/>
      <c r="R84" s="11">
        <v>7</v>
      </c>
      <c r="S84" s="41"/>
    </row>
    <row r="85" spans="1:19">
      <c r="A85" s="39"/>
      <c r="B85" s="9" t="s">
        <v>97</v>
      </c>
      <c r="C85" s="10" t="s">
        <v>39</v>
      </c>
      <c r="D85" s="39"/>
      <c r="E85" s="39"/>
      <c r="F85" s="11">
        <v>1</v>
      </c>
      <c r="G85" s="41"/>
      <c r="H85" s="11">
        <v>1</v>
      </c>
      <c r="I85" s="41"/>
      <c r="J85" s="11">
        <v>2</v>
      </c>
      <c r="K85" s="41"/>
      <c r="L85" s="11">
        <v>2</v>
      </c>
      <c r="M85" s="41"/>
      <c r="N85" s="11">
        <v>1</v>
      </c>
      <c r="O85" s="41"/>
      <c r="P85" s="11">
        <v>4</v>
      </c>
      <c r="Q85" s="41"/>
      <c r="R85" s="11">
        <v>4</v>
      </c>
      <c r="S85" s="41"/>
    </row>
    <row r="86" spans="1:19">
      <c r="A86" s="39"/>
      <c r="B86" s="9" t="s">
        <v>98</v>
      </c>
      <c r="C86" s="10" t="s">
        <v>40</v>
      </c>
      <c r="D86" s="39"/>
      <c r="E86" s="39"/>
      <c r="F86" s="11">
        <v>9</v>
      </c>
      <c r="G86" s="41"/>
      <c r="H86" s="11">
        <v>9</v>
      </c>
      <c r="I86" s="41"/>
      <c r="J86" s="11">
        <v>9</v>
      </c>
      <c r="K86" s="41"/>
      <c r="L86" s="11">
        <v>9</v>
      </c>
      <c r="M86" s="41"/>
      <c r="N86" s="11">
        <v>10</v>
      </c>
      <c r="O86" s="41"/>
      <c r="P86" s="11">
        <v>9</v>
      </c>
      <c r="Q86" s="41"/>
      <c r="R86" s="11">
        <v>10</v>
      </c>
      <c r="S86" s="41"/>
    </row>
    <row r="87" spans="1:19">
      <c r="A87" s="39"/>
      <c r="B87" s="9" t="s">
        <v>99</v>
      </c>
      <c r="C87" s="10" t="s">
        <v>41</v>
      </c>
      <c r="D87" s="39"/>
      <c r="E87" s="39"/>
      <c r="F87" s="11">
        <v>4</v>
      </c>
      <c r="G87" s="41"/>
      <c r="H87" s="11">
        <v>4</v>
      </c>
      <c r="I87" s="41"/>
      <c r="J87" s="11">
        <v>5</v>
      </c>
      <c r="K87" s="41"/>
      <c r="L87" s="11">
        <v>5</v>
      </c>
      <c r="M87" s="41"/>
      <c r="N87" s="11">
        <v>5</v>
      </c>
      <c r="O87" s="41"/>
      <c r="P87" s="11">
        <v>4</v>
      </c>
      <c r="Q87" s="41"/>
      <c r="R87" s="11">
        <v>4</v>
      </c>
      <c r="S87" s="41"/>
    </row>
    <row r="88" spans="1:19">
      <c r="A88" s="39"/>
      <c r="B88" s="9" t="s">
        <v>100</v>
      </c>
      <c r="C88" s="10" t="s">
        <v>42</v>
      </c>
      <c r="D88" s="39"/>
      <c r="E88" s="39"/>
      <c r="F88" s="11">
        <v>2</v>
      </c>
      <c r="G88" s="41"/>
      <c r="H88" s="11">
        <v>1</v>
      </c>
      <c r="I88" s="41"/>
      <c r="J88" s="11">
        <v>1</v>
      </c>
      <c r="K88" s="41"/>
      <c r="L88" s="11">
        <v>2</v>
      </c>
      <c r="M88" s="41"/>
      <c r="N88" s="11">
        <v>2</v>
      </c>
      <c r="O88" s="41"/>
      <c r="P88" s="11">
        <v>3</v>
      </c>
      <c r="Q88" s="41"/>
      <c r="R88" s="11">
        <v>3</v>
      </c>
      <c r="S88" s="41"/>
    </row>
    <row r="89" spans="1:19">
      <c r="A89" s="39"/>
      <c r="B89" s="9" t="s">
        <v>101</v>
      </c>
      <c r="C89" s="10" t="s">
        <v>43</v>
      </c>
      <c r="D89" s="39"/>
      <c r="E89" s="39"/>
      <c r="F89" s="11">
        <v>1</v>
      </c>
      <c r="G89" s="41"/>
      <c r="H89" s="11">
        <v>4</v>
      </c>
      <c r="I89" s="41"/>
      <c r="J89" s="11">
        <v>4</v>
      </c>
      <c r="K89" s="41"/>
      <c r="L89" s="11">
        <v>5</v>
      </c>
      <c r="M89" s="41"/>
      <c r="N89" s="11">
        <v>3</v>
      </c>
      <c r="O89" s="41"/>
      <c r="P89" s="11">
        <v>1</v>
      </c>
      <c r="Q89" s="41"/>
      <c r="R89" s="11">
        <v>10</v>
      </c>
      <c r="S89" s="41"/>
    </row>
    <row r="90" spans="1:19">
      <c r="A90" s="39"/>
      <c r="B90" s="9" t="s">
        <v>102</v>
      </c>
      <c r="C90" s="10" t="s">
        <v>44</v>
      </c>
      <c r="D90" s="39"/>
      <c r="E90" s="39"/>
      <c r="F90" s="11">
        <v>10</v>
      </c>
      <c r="G90" s="41"/>
      <c r="H90" s="11">
        <v>10</v>
      </c>
      <c r="I90" s="41"/>
      <c r="J90" s="11">
        <v>10</v>
      </c>
      <c r="K90" s="41"/>
      <c r="L90" s="11">
        <v>10</v>
      </c>
      <c r="M90" s="41"/>
      <c r="N90" s="11">
        <v>9</v>
      </c>
      <c r="O90" s="41"/>
      <c r="P90" s="11">
        <v>10</v>
      </c>
      <c r="Q90" s="41"/>
      <c r="R90" s="11">
        <v>10</v>
      </c>
      <c r="S90" s="41"/>
    </row>
    <row r="91" spans="1:19">
      <c r="A91" s="39"/>
      <c r="B91" s="9" t="s">
        <v>103</v>
      </c>
      <c r="C91" s="10" t="s">
        <v>45</v>
      </c>
      <c r="D91" s="39"/>
      <c r="E91" s="39"/>
      <c r="F91" s="11">
        <v>10</v>
      </c>
      <c r="G91" s="41"/>
      <c r="H91" s="11">
        <v>6</v>
      </c>
      <c r="I91" s="41"/>
      <c r="J91" s="11">
        <v>4</v>
      </c>
      <c r="K91" s="41"/>
      <c r="L91" s="11">
        <v>4</v>
      </c>
      <c r="M91" s="41"/>
      <c r="N91" s="11">
        <v>5</v>
      </c>
      <c r="O91" s="41"/>
      <c r="P91" s="11">
        <v>2</v>
      </c>
      <c r="Q91" s="41"/>
      <c r="R91" s="11">
        <v>2</v>
      </c>
      <c r="S91" s="41"/>
    </row>
    <row r="92" spans="1:19">
      <c r="A92" s="35" t="s">
        <v>5</v>
      </c>
      <c r="B92" s="2" t="s">
        <v>95</v>
      </c>
      <c r="C92" s="3" t="s">
        <v>4</v>
      </c>
      <c r="D92" s="35" t="s">
        <v>14</v>
      </c>
      <c r="E92" s="35" t="s">
        <v>18</v>
      </c>
      <c r="F92" s="4">
        <v>8</v>
      </c>
      <c r="G92" s="32">
        <v>5.333333333333333</v>
      </c>
      <c r="H92" s="4">
        <v>8</v>
      </c>
      <c r="I92" s="32">
        <v>4.7777777777777777</v>
      </c>
      <c r="J92" s="4">
        <v>8</v>
      </c>
      <c r="K92" s="32">
        <v>5.4444444444444446</v>
      </c>
      <c r="L92" s="4">
        <v>9</v>
      </c>
      <c r="M92" s="32">
        <v>5</v>
      </c>
      <c r="N92" s="4">
        <v>9</v>
      </c>
      <c r="O92" s="32">
        <v>5.1111111111111107</v>
      </c>
      <c r="P92" s="4">
        <v>10</v>
      </c>
      <c r="Q92" s="32">
        <f t="shared" ref="Q92" si="18">SUM(P92:P100)/9</f>
        <v>5.1111111111111107</v>
      </c>
      <c r="R92" s="4">
        <v>10</v>
      </c>
      <c r="S92" s="32">
        <f t="shared" ref="S92" si="19">SUM(R92:R100)/9</f>
        <v>5.5555555555555554</v>
      </c>
    </row>
    <row r="93" spans="1:19">
      <c r="A93" s="36"/>
      <c r="B93" s="2" t="s">
        <v>96</v>
      </c>
      <c r="C93" s="3" t="s">
        <v>38</v>
      </c>
      <c r="D93" s="36"/>
      <c r="E93" s="36"/>
      <c r="F93" s="4">
        <v>7</v>
      </c>
      <c r="G93" s="33"/>
      <c r="H93" s="4">
        <v>6</v>
      </c>
      <c r="I93" s="33"/>
      <c r="J93" s="4">
        <v>7</v>
      </c>
      <c r="K93" s="33"/>
      <c r="L93" s="4">
        <v>7</v>
      </c>
      <c r="M93" s="33"/>
      <c r="N93" s="4">
        <v>8</v>
      </c>
      <c r="O93" s="33"/>
      <c r="P93" s="4">
        <v>8</v>
      </c>
      <c r="Q93" s="33"/>
      <c r="R93" s="4">
        <v>8</v>
      </c>
      <c r="S93" s="33"/>
    </row>
    <row r="94" spans="1:19">
      <c r="A94" s="36"/>
      <c r="B94" s="2" t="s">
        <v>97</v>
      </c>
      <c r="C94" s="3" t="s">
        <v>39</v>
      </c>
      <c r="D94" s="36"/>
      <c r="E94" s="36"/>
      <c r="F94" s="4">
        <v>1</v>
      </c>
      <c r="G94" s="33"/>
      <c r="H94" s="4">
        <v>1</v>
      </c>
      <c r="I94" s="33"/>
      <c r="J94" s="4">
        <v>3</v>
      </c>
      <c r="K94" s="33"/>
      <c r="L94" s="4">
        <v>2</v>
      </c>
      <c r="M94" s="33"/>
      <c r="N94" s="4">
        <v>1</v>
      </c>
      <c r="O94" s="33"/>
      <c r="P94" s="4">
        <v>5</v>
      </c>
      <c r="Q94" s="33"/>
      <c r="R94" s="4">
        <v>4</v>
      </c>
      <c r="S94" s="33"/>
    </row>
    <row r="95" spans="1:19">
      <c r="A95" s="36"/>
      <c r="B95" s="2" t="s">
        <v>98</v>
      </c>
      <c r="C95" s="3" t="s">
        <v>40</v>
      </c>
      <c r="D95" s="36"/>
      <c r="E95" s="36"/>
      <c r="F95" s="4">
        <v>8</v>
      </c>
      <c r="G95" s="33"/>
      <c r="H95" s="4">
        <v>8</v>
      </c>
      <c r="I95" s="33"/>
      <c r="J95" s="4">
        <v>8</v>
      </c>
      <c r="K95" s="33"/>
      <c r="L95" s="4">
        <v>6</v>
      </c>
      <c r="M95" s="33"/>
      <c r="N95" s="4">
        <v>5</v>
      </c>
      <c r="O95" s="33"/>
      <c r="P95" s="4">
        <v>1</v>
      </c>
      <c r="Q95" s="33"/>
      <c r="R95" s="4">
        <v>4</v>
      </c>
      <c r="S95" s="33"/>
    </row>
    <row r="96" spans="1:19">
      <c r="A96" s="36"/>
      <c r="B96" s="2" t="s">
        <v>99</v>
      </c>
      <c r="C96" s="3" t="s">
        <v>41</v>
      </c>
      <c r="D96" s="36"/>
      <c r="E96" s="36"/>
      <c r="F96" s="4">
        <v>4</v>
      </c>
      <c r="G96" s="33"/>
      <c r="H96" s="4">
        <v>4</v>
      </c>
      <c r="I96" s="33"/>
      <c r="J96" s="4">
        <v>5</v>
      </c>
      <c r="K96" s="33"/>
      <c r="L96" s="4">
        <v>4</v>
      </c>
      <c r="M96" s="33"/>
      <c r="N96" s="4">
        <v>4</v>
      </c>
      <c r="O96" s="33"/>
      <c r="P96" s="4">
        <v>3</v>
      </c>
      <c r="Q96" s="33"/>
      <c r="R96" s="4">
        <v>3</v>
      </c>
      <c r="S96" s="33"/>
    </row>
    <row r="97" spans="1:19">
      <c r="A97" s="36"/>
      <c r="B97" s="2" t="s">
        <v>100</v>
      </c>
      <c r="C97" s="3" t="s">
        <v>42</v>
      </c>
      <c r="D97" s="36"/>
      <c r="E97" s="36"/>
      <c r="F97" s="4">
        <v>3</v>
      </c>
      <c r="G97" s="33"/>
      <c r="H97" s="4">
        <v>2</v>
      </c>
      <c r="I97" s="33"/>
      <c r="J97" s="4">
        <v>2</v>
      </c>
      <c r="K97" s="33"/>
      <c r="L97" s="4">
        <v>1</v>
      </c>
      <c r="M97" s="33"/>
      <c r="N97" s="4">
        <v>3</v>
      </c>
      <c r="O97" s="33"/>
      <c r="P97" s="4">
        <v>3</v>
      </c>
      <c r="Q97" s="33"/>
      <c r="R97" s="4">
        <v>3</v>
      </c>
      <c r="S97" s="33"/>
    </row>
    <row r="98" spans="1:19">
      <c r="A98" s="36"/>
      <c r="B98" s="2" t="s">
        <v>101</v>
      </c>
      <c r="C98" s="3" t="s">
        <v>43</v>
      </c>
      <c r="D98" s="36"/>
      <c r="E98" s="36"/>
      <c r="F98" s="4">
        <v>4</v>
      </c>
      <c r="G98" s="33"/>
      <c r="H98" s="4">
        <v>1</v>
      </c>
      <c r="I98" s="33"/>
      <c r="J98" s="4">
        <v>4</v>
      </c>
      <c r="K98" s="33"/>
      <c r="L98" s="4">
        <v>4</v>
      </c>
      <c r="M98" s="33"/>
      <c r="N98" s="4">
        <v>4</v>
      </c>
      <c r="O98" s="33"/>
      <c r="P98" s="4">
        <v>5</v>
      </c>
      <c r="Q98" s="33"/>
      <c r="R98" s="4">
        <v>7</v>
      </c>
      <c r="S98" s="33"/>
    </row>
    <row r="99" spans="1:19">
      <c r="A99" s="36"/>
      <c r="B99" s="2" t="s">
        <v>102</v>
      </c>
      <c r="C99" s="3" t="s">
        <v>44</v>
      </c>
      <c r="D99" s="36"/>
      <c r="E99" s="36"/>
      <c r="F99" s="4">
        <v>10</v>
      </c>
      <c r="G99" s="33"/>
      <c r="H99" s="4">
        <v>10</v>
      </c>
      <c r="I99" s="33"/>
      <c r="J99" s="4">
        <v>10</v>
      </c>
      <c r="K99" s="33"/>
      <c r="L99" s="4">
        <v>10</v>
      </c>
      <c r="M99" s="33"/>
      <c r="N99" s="4">
        <v>10</v>
      </c>
      <c r="O99" s="33"/>
      <c r="P99" s="4">
        <v>10</v>
      </c>
      <c r="Q99" s="33"/>
      <c r="R99" s="4">
        <v>10</v>
      </c>
      <c r="S99" s="33"/>
    </row>
    <row r="100" spans="1:19">
      <c r="A100" s="36"/>
      <c r="B100" s="2" t="s">
        <v>103</v>
      </c>
      <c r="C100" s="3" t="s">
        <v>45</v>
      </c>
      <c r="D100" s="36"/>
      <c r="E100" s="36"/>
      <c r="F100" s="4">
        <v>3</v>
      </c>
      <c r="G100" s="33"/>
      <c r="H100" s="4">
        <v>3</v>
      </c>
      <c r="I100" s="33"/>
      <c r="J100" s="4">
        <v>2</v>
      </c>
      <c r="K100" s="33"/>
      <c r="L100" s="4">
        <v>2</v>
      </c>
      <c r="M100" s="33"/>
      <c r="N100" s="4">
        <v>2</v>
      </c>
      <c r="O100" s="33"/>
      <c r="P100" s="4">
        <v>1</v>
      </c>
      <c r="Q100" s="33"/>
      <c r="R100" s="4">
        <v>1</v>
      </c>
      <c r="S100" s="33"/>
    </row>
    <row r="101" spans="1:19">
      <c r="A101" s="38" t="s">
        <v>5</v>
      </c>
      <c r="B101" s="9" t="s">
        <v>95</v>
      </c>
      <c r="C101" s="10" t="s">
        <v>4</v>
      </c>
      <c r="D101" s="38" t="s">
        <v>14</v>
      </c>
      <c r="E101" s="38" t="s">
        <v>19</v>
      </c>
      <c r="F101" s="11">
        <v>8</v>
      </c>
      <c r="G101" s="40">
        <v>5.2222222222222223</v>
      </c>
      <c r="H101" s="11">
        <v>8</v>
      </c>
      <c r="I101" s="40">
        <v>5.8888888888888893</v>
      </c>
      <c r="J101" s="11">
        <v>8</v>
      </c>
      <c r="K101" s="40">
        <v>6.7777777777777777</v>
      </c>
      <c r="L101" s="11">
        <v>8</v>
      </c>
      <c r="M101" s="40">
        <v>6.1111111111111107</v>
      </c>
      <c r="N101" s="11">
        <v>9</v>
      </c>
      <c r="O101" s="40">
        <v>5.7777777777777777</v>
      </c>
      <c r="P101" s="11">
        <v>10</v>
      </c>
      <c r="Q101" s="40">
        <f t="shared" ref="Q101" si="20">SUM(P101:P109)/9</f>
        <v>5.2222222222222223</v>
      </c>
      <c r="R101" s="11">
        <v>10</v>
      </c>
      <c r="S101" s="40">
        <f t="shared" ref="S101" si="21">SUM(R101:R109)/9</f>
        <v>5.2222222222222223</v>
      </c>
    </row>
    <row r="102" spans="1:19">
      <c r="A102" s="39"/>
      <c r="B102" s="9" t="s">
        <v>96</v>
      </c>
      <c r="C102" s="10" t="s">
        <v>38</v>
      </c>
      <c r="D102" s="39"/>
      <c r="E102" s="39"/>
      <c r="F102" s="11">
        <v>8</v>
      </c>
      <c r="G102" s="41"/>
      <c r="H102" s="11">
        <v>8</v>
      </c>
      <c r="I102" s="41"/>
      <c r="J102" s="11">
        <v>7</v>
      </c>
      <c r="K102" s="41"/>
      <c r="L102" s="11">
        <v>8</v>
      </c>
      <c r="M102" s="41"/>
      <c r="N102" s="11">
        <v>8</v>
      </c>
      <c r="O102" s="41"/>
      <c r="P102" s="11">
        <v>5</v>
      </c>
      <c r="Q102" s="41"/>
      <c r="R102" s="11">
        <v>4</v>
      </c>
      <c r="S102" s="41"/>
    </row>
    <row r="103" spans="1:19">
      <c r="A103" s="39"/>
      <c r="B103" s="9" t="s">
        <v>97</v>
      </c>
      <c r="C103" s="10" t="s">
        <v>39</v>
      </c>
      <c r="D103" s="39"/>
      <c r="E103" s="39"/>
      <c r="F103" s="11">
        <v>1</v>
      </c>
      <c r="G103" s="41"/>
      <c r="H103" s="11">
        <v>1</v>
      </c>
      <c r="I103" s="41"/>
      <c r="J103" s="11">
        <v>10</v>
      </c>
      <c r="K103" s="41"/>
      <c r="L103" s="11">
        <v>4</v>
      </c>
      <c r="M103" s="41"/>
      <c r="N103" s="11">
        <v>3</v>
      </c>
      <c r="O103" s="41"/>
      <c r="P103" s="11">
        <v>4</v>
      </c>
      <c r="Q103" s="41"/>
      <c r="R103" s="11">
        <v>5</v>
      </c>
      <c r="S103" s="41"/>
    </row>
    <row r="104" spans="1:19">
      <c r="A104" s="39"/>
      <c r="B104" s="9" t="s">
        <v>98</v>
      </c>
      <c r="C104" s="10" t="s">
        <v>40</v>
      </c>
      <c r="D104" s="39"/>
      <c r="E104" s="39"/>
      <c r="F104" s="11">
        <v>10</v>
      </c>
      <c r="G104" s="41"/>
      <c r="H104" s="11">
        <v>10</v>
      </c>
      <c r="I104" s="41"/>
      <c r="J104" s="11">
        <v>10</v>
      </c>
      <c r="K104" s="41"/>
      <c r="L104" s="11">
        <v>10</v>
      </c>
      <c r="M104" s="41"/>
      <c r="N104" s="11">
        <v>10</v>
      </c>
      <c r="O104" s="41"/>
      <c r="P104" s="11">
        <v>10</v>
      </c>
      <c r="Q104" s="41"/>
      <c r="R104" s="11">
        <v>10</v>
      </c>
      <c r="S104" s="41"/>
    </row>
    <row r="105" spans="1:19">
      <c r="A105" s="39"/>
      <c r="B105" s="9" t="s">
        <v>99</v>
      </c>
      <c r="C105" s="10" t="s">
        <v>41</v>
      </c>
      <c r="D105" s="39"/>
      <c r="E105" s="39"/>
      <c r="F105" s="11">
        <v>2</v>
      </c>
      <c r="G105" s="41"/>
      <c r="H105" s="11">
        <v>2</v>
      </c>
      <c r="I105" s="41"/>
      <c r="J105" s="11">
        <v>2</v>
      </c>
      <c r="K105" s="41"/>
      <c r="L105" s="11">
        <v>2</v>
      </c>
      <c r="M105" s="41"/>
      <c r="N105" s="11">
        <v>2</v>
      </c>
      <c r="O105" s="41"/>
      <c r="P105" s="11">
        <v>3</v>
      </c>
      <c r="Q105" s="41"/>
      <c r="R105" s="11">
        <v>3</v>
      </c>
      <c r="S105" s="41"/>
    </row>
    <row r="106" spans="1:19">
      <c r="A106" s="39"/>
      <c r="B106" s="9" t="s">
        <v>100</v>
      </c>
      <c r="C106" s="10" t="s">
        <v>42</v>
      </c>
      <c r="D106" s="39"/>
      <c r="E106" s="39"/>
      <c r="F106" s="11">
        <v>2</v>
      </c>
      <c r="G106" s="41"/>
      <c r="H106" s="11">
        <v>1</v>
      </c>
      <c r="I106" s="41"/>
      <c r="J106" s="11">
        <v>1</v>
      </c>
      <c r="K106" s="41"/>
      <c r="L106" s="11">
        <v>1</v>
      </c>
      <c r="M106" s="41"/>
      <c r="N106" s="11">
        <v>1</v>
      </c>
      <c r="O106" s="41"/>
      <c r="P106" s="11">
        <v>1</v>
      </c>
      <c r="Q106" s="41"/>
      <c r="R106" s="11">
        <v>1</v>
      </c>
      <c r="S106" s="41"/>
    </row>
    <row r="107" spans="1:19">
      <c r="A107" s="39"/>
      <c r="B107" s="9" t="s">
        <v>101</v>
      </c>
      <c r="C107" s="10" t="s">
        <v>43</v>
      </c>
      <c r="D107" s="39"/>
      <c r="E107" s="39"/>
      <c r="F107" s="11">
        <v>1</v>
      </c>
      <c r="G107" s="41"/>
      <c r="H107" s="11">
        <v>3</v>
      </c>
      <c r="I107" s="41"/>
      <c r="J107" s="11">
        <v>3</v>
      </c>
      <c r="K107" s="41"/>
      <c r="L107" s="11">
        <v>2</v>
      </c>
      <c r="M107" s="41"/>
      <c r="N107" s="11">
        <v>2</v>
      </c>
      <c r="O107" s="41"/>
      <c r="P107" s="11">
        <v>2</v>
      </c>
      <c r="Q107" s="41"/>
      <c r="R107" s="11">
        <v>2</v>
      </c>
      <c r="S107" s="41"/>
    </row>
    <row r="108" spans="1:19">
      <c r="A108" s="39"/>
      <c r="B108" s="9" t="s">
        <v>102</v>
      </c>
      <c r="C108" s="10" t="s">
        <v>44</v>
      </c>
      <c r="D108" s="39"/>
      <c r="E108" s="39"/>
      <c r="F108" s="11">
        <v>10</v>
      </c>
      <c r="G108" s="41"/>
      <c r="H108" s="11">
        <v>10</v>
      </c>
      <c r="I108" s="41"/>
      <c r="J108" s="11">
        <v>10</v>
      </c>
      <c r="K108" s="41"/>
      <c r="L108" s="11">
        <v>10</v>
      </c>
      <c r="M108" s="41"/>
      <c r="N108" s="11">
        <v>10</v>
      </c>
      <c r="O108" s="41"/>
      <c r="P108" s="11">
        <v>9</v>
      </c>
      <c r="Q108" s="41"/>
      <c r="R108" s="11">
        <v>9</v>
      </c>
      <c r="S108" s="41"/>
    </row>
    <row r="109" spans="1:19">
      <c r="A109" s="39"/>
      <c r="B109" s="9" t="s">
        <v>103</v>
      </c>
      <c r="C109" s="10" t="s">
        <v>45</v>
      </c>
      <c r="D109" s="39"/>
      <c r="E109" s="39"/>
      <c r="F109" s="11">
        <v>5</v>
      </c>
      <c r="G109" s="41"/>
      <c r="H109" s="11">
        <v>10</v>
      </c>
      <c r="I109" s="41"/>
      <c r="J109" s="11">
        <v>10</v>
      </c>
      <c r="K109" s="41"/>
      <c r="L109" s="11">
        <v>10</v>
      </c>
      <c r="M109" s="41"/>
      <c r="N109" s="11">
        <v>7</v>
      </c>
      <c r="O109" s="41"/>
      <c r="P109" s="11">
        <v>3</v>
      </c>
      <c r="Q109" s="41"/>
      <c r="R109" s="11">
        <v>3</v>
      </c>
      <c r="S109" s="41"/>
    </row>
    <row r="110" spans="1:19">
      <c r="A110" s="35" t="s">
        <v>5</v>
      </c>
      <c r="B110" s="2" t="s">
        <v>95</v>
      </c>
      <c r="C110" s="3" t="s">
        <v>4</v>
      </c>
      <c r="D110" s="35" t="s">
        <v>14</v>
      </c>
      <c r="E110" s="35" t="s">
        <v>20</v>
      </c>
      <c r="F110" s="4">
        <v>7</v>
      </c>
      <c r="G110" s="32">
        <v>5.2222222222222223</v>
      </c>
      <c r="H110" s="4">
        <v>7</v>
      </c>
      <c r="I110" s="32">
        <v>5.4444444444444446</v>
      </c>
      <c r="J110" s="4">
        <v>6</v>
      </c>
      <c r="K110" s="32">
        <v>5.4444444444444446</v>
      </c>
      <c r="L110" s="4">
        <v>7</v>
      </c>
      <c r="M110" s="32">
        <v>5.4444444444444446</v>
      </c>
      <c r="N110" s="4">
        <v>7</v>
      </c>
      <c r="O110" s="32">
        <v>5.666666666666667</v>
      </c>
      <c r="P110" s="4">
        <v>9</v>
      </c>
      <c r="Q110" s="32">
        <f t="shared" ref="Q110" si="22">SUM(P110:P118)/9</f>
        <v>6.1111111111111107</v>
      </c>
      <c r="R110" s="4">
        <v>10</v>
      </c>
      <c r="S110" s="32">
        <f t="shared" ref="S110" si="23">SUM(R110:R118)/9</f>
        <v>6.2222222222222223</v>
      </c>
    </row>
    <row r="111" spans="1:19">
      <c r="A111" s="36"/>
      <c r="B111" s="2" t="s">
        <v>96</v>
      </c>
      <c r="C111" s="3" t="s">
        <v>38</v>
      </c>
      <c r="D111" s="36"/>
      <c r="E111" s="36"/>
      <c r="F111" s="4">
        <v>8</v>
      </c>
      <c r="G111" s="33"/>
      <c r="H111" s="4">
        <v>8</v>
      </c>
      <c r="I111" s="33"/>
      <c r="J111" s="4">
        <v>8</v>
      </c>
      <c r="K111" s="33"/>
      <c r="L111" s="4">
        <v>8</v>
      </c>
      <c r="M111" s="33"/>
      <c r="N111" s="4">
        <v>8</v>
      </c>
      <c r="O111" s="33"/>
      <c r="P111" s="4">
        <v>9</v>
      </c>
      <c r="Q111" s="33"/>
      <c r="R111" s="4">
        <v>8</v>
      </c>
      <c r="S111" s="33"/>
    </row>
    <row r="112" spans="1:19">
      <c r="A112" s="36"/>
      <c r="B112" s="2" t="s">
        <v>97</v>
      </c>
      <c r="C112" s="3" t="s">
        <v>39</v>
      </c>
      <c r="D112" s="36"/>
      <c r="E112" s="36"/>
      <c r="F112" s="4">
        <v>1</v>
      </c>
      <c r="G112" s="33"/>
      <c r="H112" s="4">
        <v>1</v>
      </c>
      <c r="I112" s="33"/>
      <c r="J112" s="4">
        <v>2</v>
      </c>
      <c r="K112" s="33"/>
      <c r="L112" s="4">
        <v>2</v>
      </c>
      <c r="M112" s="33"/>
      <c r="N112" s="4">
        <v>1</v>
      </c>
      <c r="O112" s="33"/>
      <c r="P112" s="4">
        <v>3</v>
      </c>
      <c r="Q112" s="33"/>
      <c r="R112" s="4">
        <v>4</v>
      </c>
      <c r="S112" s="33"/>
    </row>
    <row r="113" spans="1:19">
      <c r="A113" s="36"/>
      <c r="B113" s="2" t="s">
        <v>98</v>
      </c>
      <c r="C113" s="3" t="s">
        <v>40</v>
      </c>
      <c r="D113" s="36"/>
      <c r="E113" s="36"/>
      <c r="F113" s="4">
        <v>10</v>
      </c>
      <c r="G113" s="33"/>
      <c r="H113" s="4">
        <v>10</v>
      </c>
      <c r="I113" s="33"/>
      <c r="J113" s="4">
        <v>10</v>
      </c>
      <c r="K113" s="33"/>
      <c r="L113" s="4">
        <v>10</v>
      </c>
      <c r="M113" s="33"/>
      <c r="N113" s="4">
        <v>10</v>
      </c>
      <c r="O113" s="33"/>
      <c r="P113" s="4">
        <v>10</v>
      </c>
      <c r="Q113" s="33"/>
      <c r="R113" s="4">
        <v>10</v>
      </c>
      <c r="S113" s="33"/>
    </row>
    <row r="114" spans="1:19">
      <c r="A114" s="36"/>
      <c r="B114" s="2" t="s">
        <v>99</v>
      </c>
      <c r="C114" s="3" t="s">
        <v>41</v>
      </c>
      <c r="D114" s="36"/>
      <c r="E114" s="36"/>
      <c r="F114" s="4">
        <v>4</v>
      </c>
      <c r="G114" s="33"/>
      <c r="H114" s="4">
        <v>4</v>
      </c>
      <c r="I114" s="33"/>
      <c r="J114" s="4">
        <v>4</v>
      </c>
      <c r="K114" s="33"/>
      <c r="L114" s="4">
        <v>4</v>
      </c>
      <c r="M114" s="33"/>
      <c r="N114" s="4">
        <v>4</v>
      </c>
      <c r="O114" s="33"/>
      <c r="P114" s="4">
        <v>3</v>
      </c>
      <c r="Q114" s="33"/>
      <c r="R114" s="4">
        <v>3</v>
      </c>
      <c r="S114" s="33"/>
    </row>
    <row r="115" spans="1:19">
      <c r="A115" s="36"/>
      <c r="B115" s="2" t="s">
        <v>100</v>
      </c>
      <c r="C115" s="3" t="s">
        <v>42</v>
      </c>
      <c r="D115" s="36"/>
      <c r="E115" s="36"/>
      <c r="F115" s="4">
        <v>3</v>
      </c>
      <c r="G115" s="33"/>
      <c r="H115" s="4">
        <v>1</v>
      </c>
      <c r="I115" s="33"/>
      <c r="J115" s="4">
        <v>1</v>
      </c>
      <c r="K115" s="33"/>
      <c r="L115" s="4">
        <v>1</v>
      </c>
      <c r="M115" s="33"/>
      <c r="N115" s="4">
        <v>3</v>
      </c>
      <c r="O115" s="33"/>
      <c r="P115" s="4">
        <v>4</v>
      </c>
      <c r="Q115" s="33"/>
      <c r="R115" s="4">
        <v>4</v>
      </c>
      <c r="S115" s="33"/>
    </row>
    <row r="116" spans="1:19">
      <c r="A116" s="36"/>
      <c r="B116" s="2" t="s">
        <v>101</v>
      </c>
      <c r="C116" s="3" t="s">
        <v>43</v>
      </c>
      <c r="D116" s="36"/>
      <c r="E116" s="36"/>
      <c r="F116" s="4">
        <v>2</v>
      </c>
      <c r="G116" s="33"/>
      <c r="H116" s="4">
        <v>4</v>
      </c>
      <c r="I116" s="33"/>
      <c r="J116" s="4">
        <v>4</v>
      </c>
      <c r="K116" s="33"/>
      <c r="L116" s="4">
        <v>3</v>
      </c>
      <c r="M116" s="33"/>
      <c r="N116" s="4">
        <v>3</v>
      </c>
      <c r="O116" s="33"/>
      <c r="P116" s="4">
        <v>4</v>
      </c>
      <c r="Q116" s="33"/>
      <c r="R116" s="4">
        <v>4</v>
      </c>
      <c r="S116" s="33"/>
    </row>
    <row r="117" spans="1:19">
      <c r="A117" s="36"/>
      <c r="B117" s="2" t="s">
        <v>102</v>
      </c>
      <c r="C117" s="3" t="s">
        <v>44</v>
      </c>
      <c r="D117" s="36"/>
      <c r="E117" s="36"/>
      <c r="F117" s="4">
        <v>9</v>
      </c>
      <c r="G117" s="33"/>
      <c r="H117" s="4">
        <v>10</v>
      </c>
      <c r="I117" s="33"/>
      <c r="J117" s="4">
        <v>10</v>
      </c>
      <c r="K117" s="33"/>
      <c r="L117" s="4">
        <v>10</v>
      </c>
      <c r="M117" s="33"/>
      <c r="N117" s="4">
        <v>9</v>
      </c>
      <c r="O117" s="33"/>
      <c r="P117" s="4">
        <v>10</v>
      </c>
      <c r="Q117" s="33"/>
      <c r="R117" s="4">
        <v>10</v>
      </c>
      <c r="S117" s="33"/>
    </row>
    <row r="118" spans="1:19">
      <c r="A118" s="36"/>
      <c r="B118" s="2" t="s">
        <v>103</v>
      </c>
      <c r="C118" s="3" t="s">
        <v>45</v>
      </c>
      <c r="D118" s="36"/>
      <c r="E118" s="36"/>
      <c r="F118" s="4">
        <v>3</v>
      </c>
      <c r="G118" s="33"/>
      <c r="H118" s="4">
        <v>4</v>
      </c>
      <c r="I118" s="33"/>
      <c r="J118" s="4">
        <v>4</v>
      </c>
      <c r="K118" s="33"/>
      <c r="L118" s="4">
        <v>4</v>
      </c>
      <c r="M118" s="33"/>
      <c r="N118" s="4">
        <v>6</v>
      </c>
      <c r="O118" s="33"/>
      <c r="P118" s="4">
        <v>3</v>
      </c>
      <c r="Q118" s="33"/>
      <c r="R118" s="4">
        <v>3</v>
      </c>
      <c r="S118" s="33"/>
    </row>
    <row r="119" spans="1:19">
      <c r="A119" s="38" t="s">
        <v>5</v>
      </c>
      <c r="B119" s="9" t="s">
        <v>95</v>
      </c>
      <c r="C119" s="10" t="s">
        <v>4</v>
      </c>
      <c r="D119" s="38" t="s">
        <v>14</v>
      </c>
      <c r="E119" s="38" t="s">
        <v>21</v>
      </c>
      <c r="F119" s="11">
        <v>7</v>
      </c>
      <c r="G119" s="40">
        <v>4.8888888888888893</v>
      </c>
      <c r="H119" s="11">
        <v>6</v>
      </c>
      <c r="I119" s="40">
        <v>5</v>
      </c>
      <c r="J119" s="11">
        <v>6</v>
      </c>
      <c r="K119" s="40">
        <v>4.666666666666667</v>
      </c>
      <c r="L119" s="11">
        <v>7</v>
      </c>
      <c r="M119" s="40">
        <v>4.666666666666667</v>
      </c>
      <c r="N119" s="11">
        <v>7</v>
      </c>
      <c r="O119" s="40">
        <v>4.666666666666667</v>
      </c>
      <c r="P119" s="11">
        <v>9</v>
      </c>
      <c r="Q119" s="40">
        <f t="shared" ref="Q119" si="24">SUM(P119:P127)/9</f>
        <v>5.1111111111111107</v>
      </c>
      <c r="R119" s="11">
        <v>10</v>
      </c>
      <c r="S119" s="40">
        <f t="shared" ref="S119" si="25">SUM(R119:R127)/9</f>
        <v>5.2222222222222223</v>
      </c>
    </row>
    <row r="120" spans="1:19">
      <c r="A120" s="39"/>
      <c r="B120" s="9" t="s">
        <v>96</v>
      </c>
      <c r="C120" s="10" t="s">
        <v>38</v>
      </c>
      <c r="D120" s="39"/>
      <c r="E120" s="39"/>
      <c r="F120" s="11">
        <v>10</v>
      </c>
      <c r="G120" s="41"/>
      <c r="H120" s="11">
        <v>10</v>
      </c>
      <c r="I120" s="41"/>
      <c r="J120" s="11">
        <v>10</v>
      </c>
      <c r="K120" s="41"/>
      <c r="L120" s="11">
        <v>10</v>
      </c>
      <c r="M120" s="41"/>
      <c r="N120" s="11">
        <v>10</v>
      </c>
      <c r="O120" s="41"/>
      <c r="P120" s="11">
        <v>10</v>
      </c>
      <c r="Q120" s="41"/>
      <c r="R120" s="11">
        <v>10</v>
      </c>
      <c r="S120" s="41"/>
    </row>
    <row r="121" spans="1:19">
      <c r="A121" s="39"/>
      <c r="B121" s="9" t="s">
        <v>97</v>
      </c>
      <c r="C121" s="10" t="s">
        <v>39</v>
      </c>
      <c r="D121" s="39"/>
      <c r="E121" s="39"/>
      <c r="F121" s="11">
        <v>1</v>
      </c>
      <c r="G121" s="41"/>
      <c r="H121" s="11">
        <v>1</v>
      </c>
      <c r="I121" s="41"/>
      <c r="J121" s="11">
        <v>1</v>
      </c>
      <c r="K121" s="41"/>
      <c r="L121" s="11">
        <v>2</v>
      </c>
      <c r="M121" s="41"/>
      <c r="N121" s="11">
        <v>1</v>
      </c>
      <c r="O121" s="41"/>
      <c r="P121" s="11">
        <v>3</v>
      </c>
      <c r="Q121" s="41"/>
      <c r="R121" s="11">
        <v>3</v>
      </c>
      <c r="S121" s="41"/>
    </row>
    <row r="122" spans="1:19">
      <c r="A122" s="39"/>
      <c r="B122" s="9" t="s">
        <v>98</v>
      </c>
      <c r="C122" s="10" t="s">
        <v>40</v>
      </c>
      <c r="D122" s="39"/>
      <c r="E122" s="39"/>
      <c r="F122" s="11">
        <v>9</v>
      </c>
      <c r="G122" s="41"/>
      <c r="H122" s="11">
        <v>9</v>
      </c>
      <c r="I122" s="41"/>
      <c r="J122" s="11">
        <v>9</v>
      </c>
      <c r="K122" s="41"/>
      <c r="L122" s="11">
        <v>8</v>
      </c>
      <c r="M122" s="41"/>
      <c r="N122" s="11">
        <v>7</v>
      </c>
      <c r="O122" s="41"/>
      <c r="P122" s="11">
        <v>7</v>
      </c>
      <c r="Q122" s="41"/>
      <c r="R122" s="11">
        <v>7</v>
      </c>
      <c r="S122" s="41"/>
    </row>
    <row r="123" spans="1:19">
      <c r="A123" s="39"/>
      <c r="B123" s="9" t="s">
        <v>99</v>
      </c>
      <c r="C123" s="10" t="s">
        <v>41</v>
      </c>
      <c r="D123" s="39"/>
      <c r="E123" s="39"/>
      <c r="F123" s="11">
        <v>1</v>
      </c>
      <c r="G123" s="41"/>
      <c r="H123" s="11">
        <v>1</v>
      </c>
      <c r="I123" s="41"/>
      <c r="J123" s="11">
        <v>1</v>
      </c>
      <c r="K123" s="41"/>
      <c r="L123" s="11">
        <v>1</v>
      </c>
      <c r="M123" s="41"/>
      <c r="N123" s="11">
        <v>1</v>
      </c>
      <c r="O123" s="41"/>
      <c r="P123" s="11">
        <v>1</v>
      </c>
      <c r="Q123" s="41"/>
      <c r="R123" s="11">
        <v>1</v>
      </c>
      <c r="S123" s="41"/>
    </row>
    <row r="124" spans="1:19">
      <c r="A124" s="39"/>
      <c r="B124" s="9" t="s">
        <v>100</v>
      </c>
      <c r="C124" s="10" t="s">
        <v>42</v>
      </c>
      <c r="D124" s="39"/>
      <c r="E124" s="39"/>
      <c r="F124" s="11">
        <v>1</v>
      </c>
      <c r="G124" s="41"/>
      <c r="H124" s="11">
        <v>3</v>
      </c>
      <c r="I124" s="41"/>
      <c r="J124" s="11">
        <v>1</v>
      </c>
      <c r="K124" s="41"/>
      <c r="L124" s="11">
        <v>2</v>
      </c>
      <c r="M124" s="41"/>
      <c r="N124" s="11">
        <v>3</v>
      </c>
      <c r="O124" s="41"/>
      <c r="P124" s="11">
        <v>4</v>
      </c>
      <c r="Q124" s="41"/>
      <c r="R124" s="11">
        <v>4</v>
      </c>
      <c r="S124" s="41"/>
    </row>
    <row r="125" spans="1:19">
      <c r="A125" s="39"/>
      <c r="B125" s="9" t="s">
        <v>101</v>
      </c>
      <c r="C125" s="10" t="s">
        <v>43</v>
      </c>
      <c r="D125" s="39"/>
      <c r="E125" s="39"/>
      <c r="F125" s="11">
        <v>5</v>
      </c>
      <c r="G125" s="41"/>
      <c r="H125" s="11">
        <v>5</v>
      </c>
      <c r="I125" s="41"/>
      <c r="J125" s="11">
        <v>3</v>
      </c>
      <c r="K125" s="41"/>
      <c r="L125" s="11">
        <v>2</v>
      </c>
      <c r="M125" s="41"/>
      <c r="N125" s="11">
        <v>2</v>
      </c>
      <c r="O125" s="41"/>
      <c r="P125" s="11">
        <v>2</v>
      </c>
      <c r="Q125" s="41"/>
      <c r="R125" s="11">
        <v>2</v>
      </c>
      <c r="S125" s="41"/>
    </row>
    <row r="126" spans="1:19">
      <c r="A126" s="39"/>
      <c r="B126" s="9" t="s">
        <v>102</v>
      </c>
      <c r="C126" s="10" t="s">
        <v>44</v>
      </c>
      <c r="D126" s="39"/>
      <c r="E126" s="39"/>
      <c r="F126" s="11">
        <v>9</v>
      </c>
      <c r="G126" s="41"/>
      <c r="H126" s="11">
        <v>9</v>
      </c>
      <c r="I126" s="41"/>
      <c r="J126" s="11">
        <v>10</v>
      </c>
      <c r="K126" s="41"/>
      <c r="L126" s="11">
        <v>9</v>
      </c>
      <c r="M126" s="41"/>
      <c r="N126" s="11">
        <v>10</v>
      </c>
      <c r="O126" s="41"/>
      <c r="P126" s="11">
        <v>9</v>
      </c>
      <c r="Q126" s="41"/>
      <c r="R126" s="11">
        <v>9</v>
      </c>
      <c r="S126" s="41"/>
    </row>
    <row r="127" spans="1:19">
      <c r="A127" s="39"/>
      <c r="B127" s="9" t="s">
        <v>103</v>
      </c>
      <c r="C127" s="10" t="s">
        <v>45</v>
      </c>
      <c r="D127" s="39"/>
      <c r="E127" s="39"/>
      <c r="F127" s="11">
        <v>1</v>
      </c>
      <c r="G127" s="41"/>
      <c r="H127" s="11">
        <v>1</v>
      </c>
      <c r="I127" s="41"/>
      <c r="J127" s="11">
        <v>1</v>
      </c>
      <c r="K127" s="41"/>
      <c r="L127" s="11">
        <v>1</v>
      </c>
      <c r="M127" s="41"/>
      <c r="N127" s="11">
        <v>1</v>
      </c>
      <c r="O127" s="41"/>
      <c r="P127" s="11">
        <v>1</v>
      </c>
      <c r="Q127" s="41"/>
      <c r="R127" s="11">
        <v>1</v>
      </c>
      <c r="S127" s="41"/>
    </row>
    <row r="128" spans="1:19">
      <c r="A128" s="35" t="s">
        <v>5</v>
      </c>
      <c r="B128" s="2" t="s">
        <v>95</v>
      </c>
      <c r="C128" s="3" t="s">
        <v>4</v>
      </c>
      <c r="D128" s="35" t="s">
        <v>14</v>
      </c>
      <c r="E128" s="35" t="s">
        <v>22</v>
      </c>
      <c r="F128" s="4">
        <v>8</v>
      </c>
      <c r="G128" s="32">
        <v>4.666666666666667</v>
      </c>
      <c r="H128" s="4">
        <v>8</v>
      </c>
      <c r="I128" s="32">
        <v>4.8888888888888893</v>
      </c>
      <c r="J128" s="4">
        <v>9</v>
      </c>
      <c r="K128" s="32">
        <v>5.5555555555555554</v>
      </c>
      <c r="L128" s="4">
        <v>9</v>
      </c>
      <c r="M128" s="32">
        <v>4.8888888888888893</v>
      </c>
      <c r="N128" s="4">
        <v>9</v>
      </c>
      <c r="O128" s="32">
        <v>4.8888888888888893</v>
      </c>
      <c r="P128" s="4">
        <v>10</v>
      </c>
      <c r="Q128" s="32">
        <f t="shared" ref="Q128" si="26">SUM(P128:P136)/9</f>
        <v>5.4444444444444446</v>
      </c>
      <c r="R128" s="4">
        <v>10</v>
      </c>
      <c r="S128" s="32">
        <f t="shared" ref="S128" si="27">SUM(R128:R136)/9</f>
        <v>5.4444444444444446</v>
      </c>
    </row>
    <row r="129" spans="1:19">
      <c r="A129" s="36"/>
      <c r="B129" s="2" t="s">
        <v>96</v>
      </c>
      <c r="C129" s="3" t="s">
        <v>38</v>
      </c>
      <c r="D129" s="36"/>
      <c r="E129" s="36"/>
      <c r="F129" s="4">
        <v>9</v>
      </c>
      <c r="G129" s="33"/>
      <c r="H129" s="4">
        <v>9</v>
      </c>
      <c r="I129" s="33"/>
      <c r="J129" s="4">
        <v>9</v>
      </c>
      <c r="K129" s="33"/>
      <c r="L129" s="4">
        <v>9</v>
      </c>
      <c r="M129" s="33"/>
      <c r="N129" s="4">
        <v>9</v>
      </c>
      <c r="O129" s="33"/>
      <c r="P129" s="4">
        <v>9</v>
      </c>
      <c r="Q129" s="33"/>
      <c r="R129" s="4">
        <v>9</v>
      </c>
      <c r="S129" s="33"/>
    </row>
    <row r="130" spans="1:19">
      <c r="A130" s="36"/>
      <c r="B130" s="2" t="s">
        <v>97</v>
      </c>
      <c r="C130" s="3" t="s">
        <v>39</v>
      </c>
      <c r="D130" s="36"/>
      <c r="E130" s="36"/>
      <c r="F130" s="4">
        <v>1</v>
      </c>
      <c r="G130" s="33"/>
      <c r="H130" s="4">
        <v>1</v>
      </c>
      <c r="I130" s="33"/>
      <c r="J130" s="4">
        <v>3</v>
      </c>
      <c r="K130" s="33"/>
      <c r="L130" s="4">
        <v>2</v>
      </c>
      <c r="M130" s="33"/>
      <c r="N130" s="4">
        <v>1</v>
      </c>
      <c r="O130" s="33"/>
      <c r="P130" s="4">
        <v>3</v>
      </c>
      <c r="Q130" s="33"/>
      <c r="R130" s="4">
        <v>3</v>
      </c>
      <c r="S130" s="33"/>
    </row>
    <row r="131" spans="1:19">
      <c r="A131" s="36"/>
      <c r="B131" s="2" t="s">
        <v>98</v>
      </c>
      <c r="C131" s="3" t="s">
        <v>40</v>
      </c>
      <c r="D131" s="36"/>
      <c r="E131" s="36"/>
      <c r="F131" s="4">
        <v>10</v>
      </c>
      <c r="G131" s="33"/>
      <c r="H131" s="4">
        <v>9</v>
      </c>
      <c r="I131" s="33"/>
      <c r="J131" s="4">
        <v>9</v>
      </c>
      <c r="K131" s="33"/>
      <c r="L131" s="4">
        <v>8</v>
      </c>
      <c r="M131" s="33"/>
      <c r="N131" s="4">
        <v>8</v>
      </c>
      <c r="O131" s="33"/>
      <c r="P131" s="4">
        <v>8</v>
      </c>
      <c r="Q131" s="33"/>
      <c r="R131" s="4">
        <v>7</v>
      </c>
      <c r="S131" s="33"/>
    </row>
    <row r="132" spans="1:19">
      <c r="A132" s="36"/>
      <c r="B132" s="2" t="s">
        <v>99</v>
      </c>
      <c r="C132" s="3" t="s">
        <v>41</v>
      </c>
      <c r="D132" s="36"/>
      <c r="E132" s="36"/>
      <c r="F132" s="4">
        <v>2</v>
      </c>
      <c r="G132" s="33"/>
      <c r="H132" s="4">
        <v>2</v>
      </c>
      <c r="I132" s="33"/>
      <c r="J132" s="4">
        <v>3</v>
      </c>
      <c r="K132" s="33"/>
      <c r="L132" s="4">
        <v>2</v>
      </c>
      <c r="M132" s="33"/>
      <c r="N132" s="4">
        <v>2</v>
      </c>
      <c r="O132" s="33"/>
      <c r="P132" s="4">
        <v>2</v>
      </c>
      <c r="Q132" s="33"/>
      <c r="R132" s="4">
        <v>2</v>
      </c>
      <c r="S132" s="33"/>
    </row>
    <row r="133" spans="1:19">
      <c r="A133" s="36"/>
      <c r="B133" s="2" t="s">
        <v>100</v>
      </c>
      <c r="C133" s="3" t="s">
        <v>42</v>
      </c>
      <c r="D133" s="36"/>
      <c r="E133" s="36"/>
      <c r="F133" s="4">
        <v>1</v>
      </c>
      <c r="G133" s="33"/>
      <c r="H133" s="4">
        <v>1</v>
      </c>
      <c r="I133" s="33"/>
      <c r="J133" s="4">
        <v>2</v>
      </c>
      <c r="K133" s="33"/>
      <c r="L133" s="4">
        <v>1</v>
      </c>
      <c r="M133" s="33"/>
      <c r="N133" s="4">
        <v>2</v>
      </c>
      <c r="O133" s="33"/>
      <c r="P133" s="4">
        <v>3</v>
      </c>
      <c r="Q133" s="33"/>
      <c r="R133" s="4">
        <v>3</v>
      </c>
      <c r="S133" s="33"/>
    </row>
    <row r="134" spans="1:19">
      <c r="A134" s="36"/>
      <c r="B134" s="2" t="s">
        <v>101</v>
      </c>
      <c r="C134" s="3" t="s">
        <v>43</v>
      </c>
      <c r="D134" s="36"/>
      <c r="E134" s="36"/>
      <c r="F134" s="4">
        <v>1</v>
      </c>
      <c r="G134" s="33"/>
      <c r="H134" s="4">
        <v>3</v>
      </c>
      <c r="I134" s="33"/>
      <c r="J134" s="4">
        <v>3</v>
      </c>
      <c r="K134" s="33"/>
      <c r="L134" s="4">
        <v>3</v>
      </c>
      <c r="M134" s="33"/>
      <c r="N134" s="4">
        <v>3</v>
      </c>
      <c r="O134" s="33"/>
      <c r="P134" s="4">
        <v>3</v>
      </c>
      <c r="Q134" s="33"/>
      <c r="R134" s="4">
        <v>4</v>
      </c>
      <c r="S134" s="33"/>
    </row>
    <row r="135" spans="1:19">
      <c r="A135" s="36"/>
      <c r="B135" s="2" t="s">
        <v>102</v>
      </c>
      <c r="C135" s="3" t="s">
        <v>44</v>
      </c>
      <c r="D135" s="36"/>
      <c r="E135" s="36"/>
      <c r="F135" s="4">
        <v>9</v>
      </c>
      <c r="G135" s="33"/>
      <c r="H135" s="4">
        <v>9</v>
      </c>
      <c r="I135" s="33"/>
      <c r="J135" s="4">
        <v>10</v>
      </c>
      <c r="K135" s="33"/>
      <c r="L135" s="4">
        <v>9</v>
      </c>
      <c r="M135" s="33"/>
      <c r="N135" s="4">
        <v>9</v>
      </c>
      <c r="O135" s="33"/>
      <c r="P135" s="4">
        <v>10</v>
      </c>
      <c r="Q135" s="33"/>
      <c r="R135" s="4">
        <v>10</v>
      </c>
      <c r="S135" s="33"/>
    </row>
    <row r="136" spans="1:19">
      <c r="A136" s="36"/>
      <c r="B136" s="2" t="s">
        <v>103</v>
      </c>
      <c r="C136" s="3" t="s">
        <v>45</v>
      </c>
      <c r="D136" s="36"/>
      <c r="E136" s="36"/>
      <c r="F136" s="4">
        <v>1</v>
      </c>
      <c r="G136" s="33"/>
      <c r="H136" s="4">
        <v>2</v>
      </c>
      <c r="I136" s="33"/>
      <c r="J136" s="4">
        <v>2</v>
      </c>
      <c r="K136" s="33"/>
      <c r="L136" s="4">
        <v>1</v>
      </c>
      <c r="M136" s="33"/>
      <c r="N136" s="4">
        <v>1</v>
      </c>
      <c r="O136" s="33"/>
      <c r="P136" s="4">
        <v>1</v>
      </c>
      <c r="Q136" s="33"/>
      <c r="R136" s="4">
        <v>1</v>
      </c>
      <c r="S136" s="33"/>
    </row>
    <row r="137" spans="1:19">
      <c r="A137" s="38" t="s">
        <v>5</v>
      </c>
      <c r="B137" s="9" t="s">
        <v>95</v>
      </c>
      <c r="C137" s="10" t="s">
        <v>4</v>
      </c>
      <c r="D137" s="38" t="s">
        <v>14</v>
      </c>
      <c r="E137" s="38" t="s">
        <v>23</v>
      </c>
      <c r="F137" s="11">
        <v>8</v>
      </c>
      <c r="G137" s="40">
        <v>4.8888888888888893</v>
      </c>
      <c r="H137" s="11">
        <v>8</v>
      </c>
      <c r="I137" s="40">
        <v>5</v>
      </c>
      <c r="J137" s="11">
        <v>8</v>
      </c>
      <c r="K137" s="40">
        <v>5.333333333333333</v>
      </c>
      <c r="L137" s="11">
        <v>8</v>
      </c>
      <c r="M137" s="40">
        <v>4.8888888888888893</v>
      </c>
      <c r="N137" s="11">
        <v>8</v>
      </c>
      <c r="O137" s="40">
        <v>5</v>
      </c>
      <c r="P137" s="11">
        <v>9</v>
      </c>
      <c r="Q137" s="40">
        <f t="shared" ref="Q137" si="28">SUM(P137:P145)/9</f>
        <v>5.4444444444444446</v>
      </c>
      <c r="R137" s="11">
        <v>10</v>
      </c>
      <c r="S137" s="40">
        <f t="shared" ref="S137" si="29">SUM(R137:R145)/9</f>
        <v>5.4444444444444446</v>
      </c>
    </row>
    <row r="138" spans="1:19">
      <c r="A138" s="39"/>
      <c r="B138" s="9" t="s">
        <v>96</v>
      </c>
      <c r="C138" s="10" t="s">
        <v>38</v>
      </c>
      <c r="D138" s="39"/>
      <c r="E138" s="39"/>
      <c r="F138" s="11">
        <v>8</v>
      </c>
      <c r="G138" s="41"/>
      <c r="H138" s="11">
        <v>9</v>
      </c>
      <c r="I138" s="41"/>
      <c r="J138" s="11">
        <v>9</v>
      </c>
      <c r="K138" s="41"/>
      <c r="L138" s="11">
        <v>9</v>
      </c>
      <c r="M138" s="41"/>
      <c r="N138" s="11">
        <v>9</v>
      </c>
      <c r="O138" s="41"/>
      <c r="P138" s="11">
        <v>9</v>
      </c>
      <c r="Q138" s="41"/>
      <c r="R138" s="11">
        <v>8</v>
      </c>
      <c r="S138" s="41"/>
    </row>
    <row r="139" spans="1:19">
      <c r="A139" s="39"/>
      <c r="B139" s="9" t="s">
        <v>97</v>
      </c>
      <c r="C139" s="10" t="s">
        <v>39</v>
      </c>
      <c r="D139" s="39"/>
      <c r="E139" s="39"/>
      <c r="F139" s="11">
        <v>1</v>
      </c>
      <c r="G139" s="41"/>
      <c r="H139" s="11">
        <v>1</v>
      </c>
      <c r="I139" s="41"/>
      <c r="J139" s="11">
        <v>2</v>
      </c>
      <c r="K139" s="41"/>
      <c r="L139" s="11">
        <v>2</v>
      </c>
      <c r="M139" s="41"/>
      <c r="N139" s="11">
        <v>1</v>
      </c>
      <c r="O139" s="41"/>
      <c r="P139" s="11">
        <v>3</v>
      </c>
      <c r="Q139" s="41"/>
      <c r="R139" s="11">
        <v>3</v>
      </c>
      <c r="S139" s="41"/>
    </row>
    <row r="140" spans="1:19">
      <c r="A140" s="39"/>
      <c r="B140" s="9" t="s">
        <v>98</v>
      </c>
      <c r="C140" s="10" t="s">
        <v>40</v>
      </c>
      <c r="D140" s="39"/>
      <c r="E140" s="39"/>
      <c r="F140" s="11">
        <v>9</v>
      </c>
      <c r="G140" s="41"/>
      <c r="H140" s="11">
        <v>9</v>
      </c>
      <c r="I140" s="41"/>
      <c r="J140" s="11">
        <v>9</v>
      </c>
      <c r="K140" s="41"/>
      <c r="L140" s="11">
        <v>9</v>
      </c>
      <c r="M140" s="41"/>
      <c r="N140" s="11">
        <v>8</v>
      </c>
      <c r="O140" s="41"/>
      <c r="P140" s="11">
        <v>8</v>
      </c>
      <c r="Q140" s="41"/>
      <c r="R140" s="11">
        <v>7</v>
      </c>
      <c r="S140" s="41"/>
    </row>
    <row r="141" spans="1:19">
      <c r="A141" s="39"/>
      <c r="B141" s="9" t="s">
        <v>99</v>
      </c>
      <c r="C141" s="10" t="s">
        <v>41</v>
      </c>
      <c r="D141" s="39"/>
      <c r="E141" s="39"/>
      <c r="F141" s="11">
        <v>2</v>
      </c>
      <c r="G141" s="41"/>
      <c r="H141" s="11">
        <v>2</v>
      </c>
      <c r="I141" s="41"/>
      <c r="J141" s="11">
        <v>3</v>
      </c>
      <c r="K141" s="41"/>
      <c r="L141" s="11">
        <v>2</v>
      </c>
      <c r="M141" s="41"/>
      <c r="N141" s="11">
        <v>2</v>
      </c>
      <c r="O141" s="41"/>
      <c r="P141" s="11">
        <v>2</v>
      </c>
      <c r="Q141" s="41"/>
      <c r="R141" s="11">
        <v>2</v>
      </c>
      <c r="S141" s="41"/>
    </row>
    <row r="142" spans="1:19">
      <c r="A142" s="39"/>
      <c r="B142" s="9" t="s">
        <v>100</v>
      </c>
      <c r="C142" s="10" t="s">
        <v>42</v>
      </c>
      <c r="D142" s="39"/>
      <c r="E142" s="39"/>
      <c r="F142" s="11">
        <v>2</v>
      </c>
      <c r="G142" s="41"/>
      <c r="H142" s="11">
        <v>1</v>
      </c>
      <c r="I142" s="41"/>
      <c r="J142" s="11">
        <v>1</v>
      </c>
      <c r="K142" s="41"/>
      <c r="L142" s="11">
        <v>1</v>
      </c>
      <c r="M142" s="41"/>
      <c r="N142" s="11">
        <v>3</v>
      </c>
      <c r="O142" s="41"/>
      <c r="P142" s="11">
        <v>4</v>
      </c>
      <c r="Q142" s="41"/>
      <c r="R142" s="11">
        <v>4</v>
      </c>
      <c r="S142" s="41"/>
    </row>
    <row r="143" spans="1:19">
      <c r="A143" s="39"/>
      <c r="B143" s="9" t="s">
        <v>101</v>
      </c>
      <c r="C143" s="10" t="s">
        <v>43</v>
      </c>
      <c r="D143" s="39"/>
      <c r="E143" s="39"/>
      <c r="F143" s="11">
        <v>4</v>
      </c>
      <c r="G143" s="41"/>
      <c r="H143" s="11">
        <v>5</v>
      </c>
      <c r="I143" s="41"/>
      <c r="J143" s="11">
        <v>4</v>
      </c>
      <c r="K143" s="41"/>
      <c r="L143" s="11">
        <v>4</v>
      </c>
      <c r="M143" s="41"/>
      <c r="N143" s="11">
        <v>4</v>
      </c>
      <c r="O143" s="41"/>
      <c r="P143" s="11">
        <v>4</v>
      </c>
      <c r="Q143" s="41"/>
      <c r="R143" s="11">
        <v>5</v>
      </c>
      <c r="S143" s="41"/>
    </row>
    <row r="144" spans="1:19">
      <c r="A144" s="39"/>
      <c r="B144" s="9" t="s">
        <v>102</v>
      </c>
      <c r="C144" s="10" t="s">
        <v>44</v>
      </c>
      <c r="D144" s="39"/>
      <c r="E144" s="39"/>
      <c r="F144" s="11">
        <v>9</v>
      </c>
      <c r="G144" s="41"/>
      <c r="H144" s="11">
        <v>8</v>
      </c>
      <c r="I144" s="41"/>
      <c r="J144" s="11">
        <v>10</v>
      </c>
      <c r="K144" s="41"/>
      <c r="L144" s="11">
        <v>8</v>
      </c>
      <c r="M144" s="41"/>
      <c r="N144" s="11">
        <v>8</v>
      </c>
      <c r="O144" s="41"/>
      <c r="P144" s="11">
        <v>9</v>
      </c>
      <c r="Q144" s="41"/>
      <c r="R144" s="11">
        <v>9</v>
      </c>
      <c r="S144" s="41"/>
    </row>
    <row r="145" spans="1:22">
      <c r="A145" s="39"/>
      <c r="B145" s="9" t="s">
        <v>103</v>
      </c>
      <c r="C145" s="10" t="s">
        <v>45</v>
      </c>
      <c r="D145" s="39"/>
      <c r="E145" s="39"/>
      <c r="F145" s="11">
        <v>1</v>
      </c>
      <c r="G145" s="41"/>
      <c r="H145" s="11">
        <v>2</v>
      </c>
      <c r="I145" s="41"/>
      <c r="J145" s="11">
        <v>2</v>
      </c>
      <c r="K145" s="41"/>
      <c r="L145" s="11">
        <v>1</v>
      </c>
      <c r="M145" s="41"/>
      <c r="N145" s="11">
        <v>2</v>
      </c>
      <c r="O145" s="41"/>
      <c r="P145" s="11">
        <v>1</v>
      </c>
      <c r="Q145" s="41"/>
      <c r="R145" s="11">
        <v>1</v>
      </c>
      <c r="S145" s="41"/>
    </row>
    <row r="146" spans="1:22">
      <c r="A146" s="35" t="s">
        <v>5</v>
      </c>
      <c r="B146" s="2" t="s">
        <v>95</v>
      </c>
      <c r="C146" s="3" t="s">
        <v>4</v>
      </c>
      <c r="D146" s="35" t="s">
        <v>24</v>
      </c>
      <c r="E146" s="35" t="s">
        <v>25</v>
      </c>
      <c r="F146" s="4">
        <v>8</v>
      </c>
      <c r="G146" s="32">
        <v>7.333333333333333</v>
      </c>
      <c r="H146" s="4">
        <v>9</v>
      </c>
      <c r="I146" s="32">
        <v>7.7777777777777777</v>
      </c>
      <c r="J146" s="4">
        <v>8</v>
      </c>
      <c r="K146" s="32">
        <v>7.8888888888888893</v>
      </c>
      <c r="L146" s="4">
        <v>9</v>
      </c>
      <c r="M146" s="32">
        <v>7.333333333333333</v>
      </c>
      <c r="N146" s="4">
        <v>9</v>
      </c>
      <c r="O146" s="32">
        <v>8.1111111111111107</v>
      </c>
      <c r="P146" s="4">
        <v>10</v>
      </c>
      <c r="Q146" s="32">
        <f t="shared" ref="Q146" si="30">SUM(P146:P154)/9</f>
        <v>7.4444444444444446</v>
      </c>
      <c r="R146" s="4">
        <v>10</v>
      </c>
      <c r="S146" s="32">
        <f t="shared" ref="S146" si="31">SUM(R146:R154)/9</f>
        <v>7.333333333333333</v>
      </c>
    </row>
    <row r="147" spans="1:22">
      <c r="A147" s="36"/>
      <c r="B147" s="2" t="s">
        <v>96</v>
      </c>
      <c r="C147" s="3" t="s">
        <v>38</v>
      </c>
      <c r="D147" s="36"/>
      <c r="E147" s="36"/>
      <c r="F147" s="4">
        <v>6</v>
      </c>
      <c r="G147" s="33"/>
      <c r="H147" s="4">
        <v>6</v>
      </c>
      <c r="I147" s="33"/>
      <c r="J147" s="4">
        <v>6</v>
      </c>
      <c r="K147" s="33"/>
      <c r="L147" s="4">
        <v>5</v>
      </c>
      <c r="M147" s="33"/>
      <c r="N147" s="4">
        <v>6</v>
      </c>
      <c r="O147" s="33"/>
      <c r="P147" s="4">
        <v>6</v>
      </c>
      <c r="Q147" s="33"/>
      <c r="R147" s="4">
        <v>5</v>
      </c>
      <c r="S147" s="33"/>
    </row>
    <row r="148" spans="1:22">
      <c r="A148" s="36"/>
      <c r="B148" s="2" t="s">
        <v>97</v>
      </c>
      <c r="C148" s="3" t="s">
        <v>39</v>
      </c>
      <c r="D148" s="36"/>
      <c r="E148" s="36"/>
      <c r="F148" s="4">
        <v>8</v>
      </c>
      <c r="G148" s="33"/>
      <c r="H148" s="4">
        <v>9</v>
      </c>
      <c r="I148" s="33"/>
      <c r="J148" s="4">
        <v>9</v>
      </c>
      <c r="K148" s="33"/>
      <c r="L148" s="4">
        <v>6</v>
      </c>
      <c r="M148" s="33"/>
      <c r="N148" s="4">
        <v>9</v>
      </c>
      <c r="O148" s="33"/>
      <c r="P148" s="4">
        <v>8</v>
      </c>
      <c r="Q148" s="33"/>
      <c r="R148" s="4">
        <v>7</v>
      </c>
      <c r="S148" s="33"/>
    </row>
    <row r="149" spans="1:22">
      <c r="A149" s="36"/>
      <c r="B149" s="2" t="s">
        <v>98</v>
      </c>
      <c r="C149" s="3" t="s">
        <v>40</v>
      </c>
      <c r="D149" s="36"/>
      <c r="E149" s="36"/>
      <c r="F149" s="4">
        <v>10</v>
      </c>
      <c r="G149" s="33"/>
      <c r="H149" s="4">
        <v>10</v>
      </c>
      <c r="I149" s="33"/>
      <c r="J149" s="4">
        <v>10</v>
      </c>
      <c r="K149" s="33"/>
      <c r="L149" s="4">
        <v>9</v>
      </c>
      <c r="M149" s="33"/>
      <c r="N149" s="4">
        <v>9</v>
      </c>
      <c r="O149" s="33"/>
      <c r="P149" s="4">
        <v>9</v>
      </c>
      <c r="Q149" s="33"/>
      <c r="R149" s="4">
        <v>10</v>
      </c>
      <c r="S149" s="33"/>
    </row>
    <row r="150" spans="1:22">
      <c r="A150" s="36"/>
      <c r="B150" s="2" t="s">
        <v>99</v>
      </c>
      <c r="C150" s="3" t="s">
        <v>41</v>
      </c>
      <c r="D150" s="36"/>
      <c r="E150" s="36"/>
      <c r="F150" s="4">
        <v>7</v>
      </c>
      <c r="G150" s="33"/>
      <c r="H150" s="4">
        <v>7</v>
      </c>
      <c r="I150" s="33"/>
      <c r="J150" s="4">
        <v>8</v>
      </c>
      <c r="K150" s="33"/>
      <c r="L150" s="4">
        <v>7</v>
      </c>
      <c r="M150" s="33"/>
      <c r="N150" s="4">
        <v>7</v>
      </c>
      <c r="O150" s="33"/>
      <c r="P150" s="4">
        <v>6</v>
      </c>
      <c r="Q150" s="33"/>
      <c r="R150" s="4">
        <v>6</v>
      </c>
      <c r="S150" s="33"/>
    </row>
    <row r="151" spans="1:22">
      <c r="A151" s="36"/>
      <c r="B151" s="2" t="s">
        <v>100</v>
      </c>
      <c r="C151" s="3" t="s">
        <v>42</v>
      </c>
      <c r="D151" s="36"/>
      <c r="E151" s="36"/>
      <c r="F151" s="4">
        <v>5</v>
      </c>
      <c r="G151" s="33"/>
      <c r="H151" s="4">
        <v>5</v>
      </c>
      <c r="I151" s="33"/>
      <c r="J151" s="4">
        <v>6</v>
      </c>
      <c r="K151" s="33"/>
      <c r="L151" s="4">
        <v>6</v>
      </c>
      <c r="M151" s="33"/>
      <c r="N151" s="4">
        <v>6</v>
      </c>
      <c r="O151" s="33"/>
      <c r="P151" s="4">
        <v>6</v>
      </c>
      <c r="Q151" s="33"/>
      <c r="R151" s="4">
        <v>6</v>
      </c>
      <c r="S151" s="33"/>
      <c r="T151" s="1">
        <v>193.33333333333334</v>
      </c>
      <c r="V151" s="1">
        <v>2328</v>
      </c>
    </row>
    <row r="152" spans="1:22">
      <c r="A152" s="36"/>
      <c r="B152" s="2" t="s">
        <v>101</v>
      </c>
      <c r="C152" s="3" t="s">
        <v>43</v>
      </c>
      <c r="D152" s="36"/>
      <c r="E152" s="36"/>
      <c r="F152" s="4">
        <v>9</v>
      </c>
      <c r="G152" s="33"/>
      <c r="H152" s="4">
        <v>9</v>
      </c>
      <c r="I152" s="33"/>
      <c r="J152" s="4">
        <v>8</v>
      </c>
      <c r="K152" s="33"/>
      <c r="L152" s="4">
        <v>8</v>
      </c>
      <c r="M152" s="33"/>
      <c r="N152" s="4">
        <v>7</v>
      </c>
      <c r="O152" s="33"/>
      <c r="P152" s="4">
        <v>7</v>
      </c>
      <c r="Q152" s="33"/>
      <c r="R152" s="4">
        <v>7</v>
      </c>
      <c r="S152" s="33"/>
    </row>
    <row r="153" spans="1:22">
      <c r="A153" s="36"/>
      <c r="B153" s="2" t="s">
        <v>102</v>
      </c>
      <c r="C153" s="3" t="s">
        <v>44</v>
      </c>
      <c r="D153" s="36"/>
      <c r="E153" s="36"/>
      <c r="F153" s="4">
        <v>10</v>
      </c>
      <c r="G153" s="33"/>
      <c r="H153" s="4">
        <v>10</v>
      </c>
      <c r="I153" s="33"/>
      <c r="J153" s="4">
        <v>10</v>
      </c>
      <c r="K153" s="33"/>
      <c r="L153" s="4">
        <v>10</v>
      </c>
      <c r="M153" s="33"/>
      <c r="N153" s="4">
        <v>10</v>
      </c>
      <c r="O153" s="33"/>
      <c r="P153" s="4">
        <v>10</v>
      </c>
      <c r="Q153" s="33"/>
      <c r="R153" s="4">
        <v>10</v>
      </c>
      <c r="S153" s="33"/>
    </row>
    <row r="154" spans="1:22">
      <c r="A154" s="36"/>
      <c r="B154" s="2" t="s">
        <v>103</v>
      </c>
      <c r="C154" s="3" t="s">
        <v>45</v>
      </c>
      <c r="D154" s="36"/>
      <c r="E154" s="36"/>
      <c r="F154" s="4">
        <v>3</v>
      </c>
      <c r="G154" s="33"/>
      <c r="H154" s="4">
        <v>5</v>
      </c>
      <c r="I154" s="33"/>
      <c r="J154" s="4">
        <v>6</v>
      </c>
      <c r="K154" s="33"/>
      <c r="L154" s="4">
        <v>6</v>
      </c>
      <c r="M154" s="33"/>
      <c r="N154" s="4">
        <v>10</v>
      </c>
      <c r="O154" s="33"/>
      <c r="P154" s="4">
        <v>5</v>
      </c>
      <c r="Q154" s="33"/>
      <c r="R154" s="4">
        <v>5</v>
      </c>
      <c r="S154" s="33"/>
    </row>
    <row r="155" spans="1:22">
      <c r="A155" s="38" t="s">
        <v>5</v>
      </c>
      <c r="B155" s="9" t="s">
        <v>95</v>
      </c>
      <c r="C155" s="10" t="s">
        <v>4</v>
      </c>
      <c r="D155" s="38" t="s">
        <v>24</v>
      </c>
      <c r="E155" s="38" t="s">
        <v>26</v>
      </c>
      <c r="F155" s="11">
        <v>10</v>
      </c>
      <c r="G155" s="40">
        <v>8.4444444444444446</v>
      </c>
      <c r="H155" s="11">
        <v>9</v>
      </c>
      <c r="I155" s="40">
        <v>8.6666666666666661</v>
      </c>
      <c r="J155" s="11">
        <v>9</v>
      </c>
      <c r="K155" s="40">
        <v>8.6666666666666661</v>
      </c>
      <c r="L155" s="11">
        <v>10</v>
      </c>
      <c r="M155" s="40">
        <v>8.6666666666666661</v>
      </c>
      <c r="N155" s="11">
        <v>10</v>
      </c>
      <c r="O155" s="40">
        <v>8.7777777777777786</v>
      </c>
      <c r="P155" s="11">
        <v>10</v>
      </c>
      <c r="Q155" s="40">
        <f t="shared" ref="Q155" si="32">SUM(P155:P163)/9</f>
        <v>8.1111111111111107</v>
      </c>
      <c r="R155" s="11">
        <v>10</v>
      </c>
      <c r="S155" s="40">
        <f t="shared" ref="S155" si="33">SUM(R155:R163)/9</f>
        <v>8</v>
      </c>
    </row>
    <row r="156" spans="1:22">
      <c r="A156" s="39"/>
      <c r="B156" s="9" t="s">
        <v>96</v>
      </c>
      <c r="C156" s="10" t="s">
        <v>38</v>
      </c>
      <c r="D156" s="39"/>
      <c r="E156" s="39"/>
      <c r="F156" s="11">
        <v>10</v>
      </c>
      <c r="G156" s="41"/>
      <c r="H156" s="11">
        <v>10</v>
      </c>
      <c r="I156" s="41"/>
      <c r="J156" s="11">
        <v>10</v>
      </c>
      <c r="K156" s="41"/>
      <c r="L156" s="11">
        <v>10</v>
      </c>
      <c r="M156" s="41"/>
      <c r="N156" s="11">
        <v>10</v>
      </c>
      <c r="O156" s="41"/>
      <c r="P156" s="11">
        <v>10</v>
      </c>
      <c r="Q156" s="41"/>
      <c r="R156" s="11">
        <v>10</v>
      </c>
      <c r="S156" s="41"/>
    </row>
    <row r="157" spans="1:22">
      <c r="A157" s="39"/>
      <c r="B157" s="9" t="s">
        <v>97</v>
      </c>
      <c r="C157" s="10" t="s">
        <v>39</v>
      </c>
      <c r="D157" s="39"/>
      <c r="E157" s="39"/>
      <c r="F157" s="11">
        <v>7</v>
      </c>
      <c r="G157" s="41"/>
      <c r="H157" s="11">
        <v>8</v>
      </c>
      <c r="I157" s="41"/>
      <c r="J157" s="11">
        <v>9</v>
      </c>
      <c r="K157" s="41"/>
      <c r="L157" s="11">
        <v>9</v>
      </c>
      <c r="M157" s="41"/>
      <c r="N157" s="11">
        <v>10</v>
      </c>
      <c r="O157" s="41"/>
      <c r="P157" s="11">
        <v>9</v>
      </c>
      <c r="Q157" s="41"/>
      <c r="R157" s="11">
        <v>8</v>
      </c>
      <c r="S157" s="41"/>
    </row>
    <row r="158" spans="1:22">
      <c r="A158" s="39"/>
      <c r="B158" s="9" t="s">
        <v>98</v>
      </c>
      <c r="C158" s="10" t="s">
        <v>40</v>
      </c>
      <c r="D158" s="39"/>
      <c r="E158" s="39"/>
      <c r="F158" s="11">
        <v>10</v>
      </c>
      <c r="G158" s="41"/>
      <c r="H158" s="11">
        <v>10</v>
      </c>
      <c r="I158" s="41"/>
      <c r="J158" s="11">
        <v>10</v>
      </c>
      <c r="K158" s="41"/>
      <c r="L158" s="11">
        <v>10</v>
      </c>
      <c r="M158" s="41"/>
      <c r="N158" s="11">
        <v>9</v>
      </c>
      <c r="O158" s="41"/>
      <c r="P158" s="11">
        <v>9</v>
      </c>
      <c r="Q158" s="41"/>
      <c r="R158" s="11">
        <v>9</v>
      </c>
      <c r="S158" s="41"/>
    </row>
    <row r="159" spans="1:22">
      <c r="A159" s="39"/>
      <c r="B159" s="9" t="s">
        <v>99</v>
      </c>
      <c r="C159" s="10" t="s">
        <v>41</v>
      </c>
      <c r="D159" s="39"/>
      <c r="E159" s="39"/>
      <c r="F159" s="11">
        <v>7</v>
      </c>
      <c r="G159" s="41"/>
      <c r="H159" s="11">
        <v>7</v>
      </c>
      <c r="I159" s="41"/>
      <c r="J159" s="11">
        <v>8</v>
      </c>
      <c r="K159" s="41"/>
      <c r="L159" s="11">
        <v>8</v>
      </c>
      <c r="M159" s="41"/>
      <c r="N159" s="11">
        <v>8</v>
      </c>
      <c r="O159" s="41"/>
      <c r="P159" s="11">
        <v>7</v>
      </c>
      <c r="Q159" s="41"/>
      <c r="R159" s="11">
        <v>7</v>
      </c>
      <c r="S159" s="41"/>
    </row>
    <row r="160" spans="1:22">
      <c r="A160" s="39"/>
      <c r="B160" s="9" t="s">
        <v>100</v>
      </c>
      <c r="C160" s="10" t="s">
        <v>42</v>
      </c>
      <c r="D160" s="39"/>
      <c r="E160" s="39"/>
      <c r="F160" s="11">
        <v>6</v>
      </c>
      <c r="G160" s="41"/>
      <c r="H160" s="11">
        <v>6</v>
      </c>
      <c r="I160" s="41"/>
      <c r="J160" s="11">
        <v>7</v>
      </c>
      <c r="K160" s="41"/>
      <c r="L160" s="11">
        <v>7</v>
      </c>
      <c r="M160" s="41"/>
      <c r="N160" s="11">
        <v>7</v>
      </c>
      <c r="O160" s="41"/>
      <c r="P160" s="11">
        <v>7</v>
      </c>
      <c r="Q160" s="41"/>
      <c r="R160" s="11">
        <v>7</v>
      </c>
      <c r="S160" s="41"/>
    </row>
    <row r="161" spans="1:24">
      <c r="A161" s="39"/>
      <c r="B161" s="9" t="s">
        <v>101</v>
      </c>
      <c r="C161" s="10" t="s">
        <v>43</v>
      </c>
      <c r="D161" s="39"/>
      <c r="E161" s="39"/>
      <c r="F161" s="11">
        <v>8</v>
      </c>
      <c r="G161" s="41"/>
      <c r="H161" s="11">
        <v>9</v>
      </c>
      <c r="I161" s="41"/>
      <c r="J161" s="11">
        <v>8</v>
      </c>
      <c r="K161" s="41"/>
      <c r="L161" s="11">
        <v>8</v>
      </c>
      <c r="M161" s="41"/>
      <c r="N161" s="11">
        <v>8</v>
      </c>
      <c r="O161" s="41"/>
      <c r="P161" s="11">
        <v>8</v>
      </c>
      <c r="Q161" s="41"/>
      <c r="R161" s="11">
        <v>8</v>
      </c>
      <c r="S161" s="41"/>
    </row>
    <row r="162" spans="1:24">
      <c r="A162" s="39"/>
      <c r="B162" s="9" t="s">
        <v>102</v>
      </c>
      <c r="C162" s="10" t="s">
        <v>44</v>
      </c>
      <c r="D162" s="39"/>
      <c r="E162" s="39"/>
      <c r="F162" s="11">
        <v>10</v>
      </c>
      <c r="G162" s="41"/>
      <c r="H162" s="11">
        <v>10</v>
      </c>
      <c r="I162" s="41"/>
      <c r="J162" s="11">
        <v>10</v>
      </c>
      <c r="K162" s="41"/>
      <c r="L162" s="11">
        <v>10</v>
      </c>
      <c r="M162" s="41"/>
      <c r="N162" s="11">
        <v>10</v>
      </c>
      <c r="O162" s="41"/>
      <c r="P162" s="11">
        <v>10</v>
      </c>
      <c r="Q162" s="41"/>
      <c r="R162" s="11">
        <v>10</v>
      </c>
      <c r="S162" s="41"/>
    </row>
    <row r="163" spans="1:24">
      <c r="A163" s="39"/>
      <c r="B163" s="9" t="s">
        <v>103</v>
      </c>
      <c r="C163" s="10" t="s">
        <v>45</v>
      </c>
      <c r="D163" s="39"/>
      <c r="E163" s="39"/>
      <c r="F163" s="11">
        <v>8</v>
      </c>
      <c r="G163" s="41"/>
      <c r="H163" s="11">
        <v>9</v>
      </c>
      <c r="I163" s="41"/>
      <c r="J163" s="11">
        <v>7</v>
      </c>
      <c r="K163" s="41"/>
      <c r="L163" s="11">
        <v>6</v>
      </c>
      <c r="M163" s="41"/>
      <c r="N163" s="11">
        <v>7</v>
      </c>
      <c r="O163" s="41"/>
      <c r="P163" s="11">
        <v>3</v>
      </c>
      <c r="Q163" s="41"/>
      <c r="R163" s="11">
        <v>3</v>
      </c>
      <c r="S163" s="41"/>
    </row>
    <row r="164" spans="1:24">
      <c r="A164" s="35" t="s">
        <v>5</v>
      </c>
      <c r="B164" s="2" t="s">
        <v>95</v>
      </c>
      <c r="C164" s="3" t="s">
        <v>4</v>
      </c>
      <c r="D164" s="35" t="s">
        <v>24</v>
      </c>
      <c r="E164" s="35" t="s">
        <v>27</v>
      </c>
      <c r="F164" s="4">
        <v>9</v>
      </c>
      <c r="G164" s="32">
        <v>7.666666666666667</v>
      </c>
      <c r="H164" s="4">
        <v>9</v>
      </c>
      <c r="I164" s="32">
        <v>7.666666666666667</v>
      </c>
      <c r="J164" s="4">
        <v>8</v>
      </c>
      <c r="K164" s="32">
        <v>7.4444444444444446</v>
      </c>
      <c r="L164" s="4">
        <v>9</v>
      </c>
      <c r="M164" s="32">
        <v>7.333333333333333</v>
      </c>
      <c r="N164" s="4">
        <v>10</v>
      </c>
      <c r="O164" s="32">
        <v>7.4444444444444446</v>
      </c>
      <c r="P164" s="4">
        <v>10</v>
      </c>
      <c r="Q164" s="32">
        <f t="shared" ref="Q164" si="34">SUM(P164:P172)/9</f>
        <v>7</v>
      </c>
      <c r="R164" s="4">
        <v>10</v>
      </c>
      <c r="S164" s="32">
        <f t="shared" ref="S164" si="35">SUM(R164:R172)/9</f>
        <v>7</v>
      </c>
    </row>
    <row r="165" spans="1:24">
      <c r="A165" s="36"/>
      <c r="B165" s="2" t="s">
        <v>96</v>
      </c>
      <c r="C165" s="3" t="s">
        <v>38</v>
      </c>
      <c r="D165" s="36"/>
      <c r="E165" s="36"/>
      <c r="F165" s="4">
        <v>10</v>
      </c>
      <c r="G165" s="33"/>
      <c r="H165" s="4">
        <v>10</v>
      </c>
      <c r="I165" s="33"/>
      <c r="J165" s="4">
        <v>10</v>
      </c>
      <c r="K165" s="33"/>
      <c r="L165" s="4">
        <v>10</v>
      </c>
      <c r="M165" s="33"/>
      <c r="N165" s="4">
        <v>10</v>
      </c>
      <c r="O165" s="33"/>
      <c r="P165" s="4">
        <v>10</v>
      </c>
      <c r="Q165" s="33"/>
      <c r="R165" s="4">
        <v>10</v>
      </c>
      <c r="S165" s="33"/>
    </row>
    <row r="166" spans="1:24">
      <c r="A166" s="36"/>
      <c r="B166" s="2" t="s">
        <v>97</v>
      </c>
      <c r="C166" s="3" t="s">
        <v>39</v>
      </c>
      <c r="D166" s="36"/>
      <c r="E166" s="36"/>
      <c r="F166" s="4">
        <v>6</v>
      </c>
      <c r="G166" s="33"/>
      <c r="H166" s="4">
        <v>7</v>
      </c>
      <c r="I166" s="33"/>
      <c r="J166" s="4">
        <v>8</v>
      </c>
      <c r="K166" s="33"/>
      <c r="L166" s="4">
        <v>8</v>
      </c>
      <c r="M166" s="33"/>
      <c r="N166" s="4">
        <v>6</v>
      </c>
      <c r="O166" s="33"/>
      <c r="P166" s="4">
        <v>7</v>
      </c>
      <c r="Q166" s="33"/>
      <c r="R166" s="4">
        <v>5</v>
      </c>
      <c r="S166" s="33"/>
    </row>
    <row r="167" spans="1:24">
      <c r="A167" s="36"/>
      <c r="B167" s="2" t="s">
        <v>98</v>
      </c>
      <c r="C167" s="3" t="s">
        <v>40</v>
      </c>
      <c r="D167" s="36"/>
      <c r="E167" s="36"/>
      <c r="F167" s="4">
        <v>10</v>
      </c>
      <c r="G167" s="33"/>
      <c r="H167" s="4">
        <v>10</v>
      </c>
      <c r="I167" s="33"/>
      <c r="J167" s="4">
        <v>10</v>
      </c>
      <c r="K167" s="33"/>
      <c r="L167" s="4">
        <v>9</v>
      </c>
      <c r="M167" s="33"/>
      <c r="N167" s="4">
        <v>10</v>
      </c>
      <c r="O167" s="33"/>
      <c r="P167" s="4">
        <v>9</v>
      </c>
      <c r="Q167" s="33"/>
      <c r="R167" s="4">
        <v>10</v>
      </c>
      <c r="S167" s="33"/>
    </row>
    <row r="168" spans="1:24">
      <c r="A168" s="36"/>
      <c r="B168" s="2" t="s">
        <v>99</v>
      </c>
      <c r="C168" s="3" t="s">
        <v>41</v>
      </c>
      <c r="D168" s="36"/>
      <c r="E168" s="36"/>
      <c r="F168" s="4">
        <v>8</v>
      </c>
      <c r="G168" s="33"/>
      <c r="H168" s="4">
        <v>8</v>
      </c>
      <c r="I168" s="33"/>
      <c r="J168" s="4">
        <v>7</v>
      </c>
      <c r="K168" s="33"/>
      <c r="L168" s="4">
        <v>7</v>
      </c>
      <c r="M168" s="33"/>
      <c r="N168" s="4">
        <v>7</v>
      </c>
      <c r="O168" s="33"/>
      <c r="P168" s="4">
        <v>7</v>
      </c>
      <c r="Q168" s="33"/>
      <c r="R168" s="4">
        <v>7</v>
      </c>
      <c r="S168" s="33"/>
    </row>
    <row r="169" spans="1:24">
      <c r="A169" s="36"/>
      <c r="B169" s="2" t="s">
        <v>100</v>
      </c>
      <c r="C169" s="3" t="s">
        <v>42</v>
      </c>
      <c r="D169" s="36"/>
      <c r="E169" s="36"/>
      <c r="F169" s="4">
        <v>4</v>
      </c>
      <c r="G169" s="33"/>
      <c r="H169" s="4">
        <v>3</v>
      </c>
      <c r="I169" s="33"/>
      <c r="J169" s="4">
        <v>3</v>
      </c>
      <c r="K169" s="33"/>
      <c r="L169" s="4">
        <v>3</v>
      </c>
      <c r="M169" s="33"/>
      <c r="N169" s="4">
        <v>4</v>
      </c>
      <c r="O169" s="33"/>
      <c r="P169" s="4">
        <v>4</v>
      </c>
      <c r="Q169" s="33"/>
      <c r="R169" s="4">
        <v>4</v>
      </c>
      <c r="S169" s="33"/>
      <c r="T169" s="1">
        <v>2040</v>
      </c>
      <c r="X169" s="1">
        <v>1920</v>
      </c>
    </row>
    <row r="170" spans="1:24">
      <c r="A170" s="36"/>
      <c r="B170" s="2" t="s">
        <v>101</v>
      </c>
      <c r="C170" s="3" t="s">
        <v>43</v>
      </c>
      <c r="D170" s="36"/>
      <c r="E170" s="36"/>
      <c r="F170" s="4">
        <v>9</v>
      </c>
      <c r="G170" s="33"/>
      <c r="H170" s="4">
        <v>9</v>
      </c>
      <c r="I170" s="33"/>
      <c r="J170" s="4">
        <v>8</v>
      </c>
      <c r="K170" s="33"/>
      <c r="L170" s="4">
        <v>8</v>
      </c>
      <c r="M170" s="33"/>
      <c r="N170" s="4">
        <v>7</v>
      </c>
      <c r="O170" s="33"/>
      <c r="P170" s="4">
        <v>5</v>
      </c>
      <c r="Q170" s="33"/>
      <c r="R170" s="4">
        <v>6</v>
      </c>
      <c r="S170" s="33"/>
    </row>
    <row r="171" spans="1:24">
      <c r="A171" s="36"/>
      <c r="B171" s="2" t="s">
        <v>102</v>
      </c>
      <c r="C171" s="3" t="s">
        <v>44</v>
      </c>
      <c r="D171" s="36"/>
      <c r="E171" s="36"/>
      <c r="F171" s="4">
        <v>10</v>
      </c>
      <c r="G171" s="33"/>
      <c r="H171" s="4">
        <v>10</v>
      </c>
      <c r="I171" s="33"/>
      <c r="J171" s="4">
        <v>10</v>
      </c>
      <c r="K171" s="33"/>
      <c r="L171" s="4">
        <v>10</v>
      </c>
      <c r="M171" s="33"/>
      <c r="N171" s="4">
        <v>10</v>
      </c>
      <c r="O171" s="33"/>
      <c r="P171" s="4">
        <v>10</v>
      </c>
      <c r="Q171" s="33"/>
      <c r="R171" s="4">
        <v>10</v>
      </c>
      <c r="S171" s="33"/>
    </row>
    <row r="172" spans="1:24">
      <c r="A172" s="36"/>
      <c r="B172" s="2" t="s">
        <v>103</v>
      </c>
      <c r="C172" s="3" t="s">
        <v>45</v>
      </c>
      <c r="D172" s="36"/>
      <c r="E172" s="36"/>
      <c r="F172" s="4">
        <v>3</v>
      </c>
      <c r="G172" s="33"/>
      <c r="H172" s="4">
        <v>3</v>
      </c>
      <c r="I172" s="33"/>
      <c r="J172" s="4">
        <v>3</v>
      </c>
      <c r="K172" s="33"/>
      <c r="L172" s="4">
        <v>2</v>
      </c>
      <c r="M172" s="33"/>
      <c r="N172" s="4">
        <v>3</v>
      </c>
      <c r="O172" s="33"/>
      <c r="P172" s="4">
        <v>1</v>
      </c>
      <c r="Q172" s="33"/>
      <c r="R172" s="4">
        <v>1</v>
      </c>
      <c r="S172" s="33"/>
    </row>
    <row r="173" spans="1:24">
      <c r="A173" s="38" t="s">
        <v>5</v>
      </c>
      <c r="B173" s="9" t="s">
        <v>95</v>
      </c>
      <c r="C173" s="10" t="s">
        <v>4</v>
      </c>
      <c r="D173" s="38" t="s">
        <v>24</v>
      </c>
      <c r="E173" s="38" t="s">
        <v>28</v>
      </c>
      <c r="F173" s="11">
        <v>10</v>
      </c>
      <c r="G173" s="40">
        <v>8.2222222222222214</v>
      </c>
      <c r="H173" s="11">
        <v>9</v>
      </c>
      <c r="I173" s="40">
        <v>8.4444444444444446</v>
      </c>
      <c r="J173" s="11">
        <v>9</v>
      </c>
      <c r="K173" s="40">
        <v>8.3333333333333339</v>
      </c>
      <c r="L173" s="11">
        <v>10</v>
      </c>
      <c r="M173" s="40">
        <v>8.2222222222222214</v>
      </c>
      <c r="N173" s="11">
        <v>10</v>
      </c>
      <c r="O173" s="40">
        <v>8.3333333333333339</v>
      </c>
      <c r="P173" s="11">
        <v>10</v>
      </c>
      <c r="Q173" s="40">
        <f t="shared" ref="Q173" si="36">SUM(P173:P181)/9</f>
        <v>8.1111111111111107</v>
      </c>
      <c r="R173" s="11">
        <v>10</v>
      </c>
      <c r="S173" s="40">
        <f t="shared" ref="S173" si="37">SUM(R173:R181)/9</f>
        <v>8.1111111111111107</v>
      </c>
    </row>
    <row r="174" spans="1:24">
      <c r="A174" s="39"/>
      <c r="B174" s="9" t="s">
        <v>96</v>
      </c>
      <c r="C174" s="10" t="s">
        <v>38</v>
      </c>
      <c r="D174" s="39"/>
      <c r="E174" s="39"/>
      <c r="F174" s="11">
        <v>10</v>
      </c>
      <c r="G174" s="41"/>
      <c r="H174" s="11">
        <v>10</v>
      </c>
      <c r="I174" s="41"/>
      <c r="J174" s="11">
        <v>10</v>
      </c>
      <c r="K174" s="41"/>
      <c r="L174" s="11">
        <v>9</v>
      </c>
      <c r="M174" s="41"/>
      <c r="N174" s="11">
        <v>9</v>
      </c>
      <c r="O174" s="41"/>
      <c r="P174" s="11">
        <v>9</v>
      </c>
      <c r="Q174" s="41"/>
      <c r="R174" s="11">
        <v>9</v>
      </c>
      <c r="S174" s="41"/>
    </row>
    <row r="175" spans="1:24">
      <c r="A175" s="39"/>
      <c r="B175" s="9" t="s">
        <v>97</v>
      </c>
      <c r="C175" s="10" t="s">
        <v>39</v>
      </c>
      <c r="D175" s="39"/>
      <c r="E175" s="39"/>
      <c r="F175" s="11">
        <v>8</v>
      </c>
      <c r="G175" s="41"/>
      <c r="H175" s="11">
        <v>10</v>
      </c>
      <c r="I175" s="41"/>
      <c r="J175" s="11">
        <v>9</v>
      </c>
      <c r="K175" s="41"/>
      <c r="L175" s="11">
        <v>8</v>
      </c>
      <c r="M175" s="41"/>
      <c r="N175" s="11">
        <v>8</v>
      </c>
      <c r="O175" s="41"/>
      <c r="P175" s="11">
        <v>7</v>
      </c>
      <c r="Q175" s="41"/>
      <c r="R175" s="11">
        <v>7</v>
      </c>
      <c r="S175" s="41"/>
    </row>
    <row r="176" spans="1:24">
      <c r="A176" s="39"/>
      <c r="B176" s="9" t="s">
        <v>98</v>
      </c>
      <c r="C176" s="10" t="s">
        <v>40</v>
      </c>
      <c r="D176" s="39"/>
      <c r="E176" s="39"/>
      <c r="F176" s="11">
        <v>10</v>
      </c>
      <c r="G176" s="41"/>
      <c r="H176" s="11">
        <v>10</v>
      </c>
      <c r="I176" s="41"/>
      <c r="J176" s="11">
        <v>10</v>
      </c>
      <c r="K176" s="41"/>
      <c r="L176" s="11">
        <v>10</v>
      </c>
      <c r="M176" s="41"/>
      <c r="N176" s="11">
        <v>10</v>
      </c>
      <c r="O176" s="41"/>
      <c r="P176" s="11">
        <v>10</v>
      </c>
      <c r="Q176" s="41"/>
      <c r="R176" s="11">
        <v>10</v>
      </c>
      <c r="S176" s="41"/>
    </row>
    <row r="177" spans="1:24">
      <c r="A177" s="39"/>
      <c r="B177" s="9" t="s">
        <v>99</v>
      </c>
      <c r="C177" s="10" t="s">
        <v>41</v>
      </c>
      <c r="D177" s="39"/>
      <c r="E177" s="39"/>
      <c r="F177" s="11">
        <v>10</v>
      </c>
      <c r="G177" s="41"/>
      <c r="H177" s="11">
        <v>10</v>
      </c>
      <c r="I177" s="41"/>
      <c r="J177" s="11">
        <v>10</v>
      </c>
      <c r="K177" s="41"/>
      <c r="L177" s="11">
        <v>10</v>
      </c>
      <c r="M177" s="41"/>
      <c r="N177" s="11">
        <v>8</v>
      </c>
      <c r="O177" s="41"/>
      <c r="P177" s="11">
        <v>9</v>
      </c>
      <c r="Q177" s="41"/>
      <c r="R177" s="11">
        <v>9</v>
      </c>
      <c r="S177" s="41"/>
    </row>
    <row r="178" spans="1:24">
      <c r="A178" s="39"/>
      <c r="B178" s="9" t="s">
        <v>100</v>
      </c>
      <c r="C178" s="10" t="s">
        <v>42</v>
      </c>
      <c r="D178" s="39"/>
      <c r="E178" s="39"/>
      <c r="F178" s="11">
        <v>4</v>
      </c>
      <c r="G178" s="41"/>
      <c r="H178" s="11">
        <v>5</v>
      </c>
      <c r="I178" s="41"/>
      <c r="J178" s="11">
        <v>5</v>
      </c>
      <c r="K178" s="41"/>
      <c r="L178" s="11">
        <v>5</v>
      </c>
      <c r="M178" s="41"/>
      <c r="N178" s="11">
        <v>6</v>
      </c>
      <c r="O178" s="41"/>
      <c r="P178" s="11">
        <v>6</v>
      </c>
      <c r="Q178" s="41"/>
      <c r="R178" s="11">
        <v>6</v>
      </c>
      <c r="S178" s="41"/>
    </row>
    <row r="179" spans="1:24">
      <c r="A179" s="39"/>
      <c r="B179" s="9" t="s">
        <v>101</v>
      </c>
      <c r="C179" s="10" t="s">
        <v>43</v>
      </c>
      <c r="D179" s="39"/>
      <c r="E179" s="39"/>
      <c r="F179" s="11">
        <v>9</v>
      </c>
      <c r="G179" s="41"/>
      <c r="H179" s="11">
        <v>9</v>
      </c>
      <c r="I179" s="41"/>
      <c r="J179" s="11">
        <v>9</v>
      </c>
      <c r="K179" s="41"/>
      <c r="L179" s="11">
        <v>9</v>
      </c>
      <c r="M179" s="41"/>
      <c r="N179" s="11">
        <v>9</v>
      </c>
      <c r="O179" s="41"/>
      <c r="P179" s="11">
        <v>9</v>
      </c>
      <c r="Q179" s="41"/>
      <c r="R179" s="11">
        <v>9</v>
      </c>
      <c r="S179" s="41"/>
    </row>
    <row r="180" spans="1:24">
      <c r="A180" s="39"/>
      <c r="B180" s="9" t="s">
        <v>102</v>
      </c>
      <c r="C180" s="10" t="s">
        <v>44</v>
      </c>
      <c r="D180" s="39"/>
      <c r="E180" s="39"/>
      <c r="F180" s="11">
        <v>10</v>
      </c>
      <c r="G180" s="41"/>
      <c r="H180" s="11">
        <v>10</v>
      </c>
      <c r="I180" s="41"/>
      <c r="J180" s="11">
        <v>10</v>
      </c>
      <c r="K180" s="41"/>
      <c r="L180" s="11">
        <v>10</v>
      </c>
      <c r="M180" s="41"/>
      <c r="N180" s="11">
        <v>10</v>
      </c>
      <c r="O180" s="41"/>
      <c r="P180" s="11">
        <v>10</v>
      </c>
      <c r="Q180" s="41"/>
      <c r="R180" s="11">
        <v>10</v>
      </c>
      <c r="S180" s="41"/>
    </row>
    <row r="181" spans="1:24">
      <c r="A181" s="39"/>
      <c r="B181" s="9" t="s">
        <v>103</v>
      </c>
      <c r="C181" s="10" t="s">
        <v>45</v>
      </c>
      <c r="D181" s="39"/>
      <c r="E181" s="39"/>
      <c r="F181" s="11">
        <v>3</v>
      </c>
      <c r="G181" s="41"/>
      <c r="H181" s="11">
        <v>3</v>
      </c>
      <c r="I181" s="41"/>
      <c r="J181" s="11">
        <v>3</v>
      </c>
      <c r="K181" s="41"/>
      <c r="L181" s="11">
        <v>3</v>
      </c>
      <c r="M181" s="41"/>
      <c r="N181" s="11">
        <v>5</v>
      </c>
      <c r="O181" s="41"/>
      <c r="P181" s="11">
        <v>3</v>
      </c>
      <c r="Q181" s="41"/>
      <c r="R181" s="11">
        <v>3</v>
      </c>
      <c r="S181" s="41"/>
    </row>
    <row r="182" spans="1:24">
      <c r="A182" s="35" t="s">
        <v>5</v>
      </c>
      <c r="B182" s="2" t="s">
        <v>95</v>
      </c>
      <c r="C182" s="3" t="s">
        <v>4</v>
      </c>
      <c r="D182" s="35" t="s">
        <v>29</v>
      </c>
      <c r="E182" s="35" t="s">
        <v>30</v>
      </c>
      <c r="F182" s="4">
        <v>6</v>
      </c>
      <c r="G182" s="32">
        <v>6.666666666666667</v>
      </c>
      <c r="H182" s="4">
        <v>5</v>
      </c>
      <c r="I182" s="32">
        <v>7.1111111111111107</v>
      </c>
      <c r="J182" s="4">
        <v>5</v>
      </c>
      <c r="K182" s="32">
        <v>6.2222222222222223</v>
      </c>
      <c r="L182" s="4">
        <v>6</v>
      </c>
      <c r="M182" s="32">
        <v>6.4444444444444446</v>
      </c>
      <c r="N182" s="4">
        <v>6</v>
      </c>
      <c r="O182" s="32">
        <v>6.666666666666667</v>
      </c>
      <c r="P182" s="4">
        <v>8</v>
      </c>
      <c r="Q182" s="32">
        <f t="shared" ref="Q182" si="38">SUM(P182:P190)/9</f>
        <v>7</v>
      </c>
      <c r="R182" s="4">
        <v>10</v>
      </c>
      <c r="S182" s="32">
        <f t="shared" ref="S182" si="39">SUM(R182:R190)/9</f>
        <v>6.4444444444444446</v>
      </c>
    </row>
    <row r="183" spans="1:24">
      <c r="A183" s="36"/>
      <c r="B183" s="2" t="s">
        <v>96</v>
      </c>
      <c r="C183" s="3" t="s">
        <v>38</v>
      </c>
      <c r="D183" s="36"/>
      <c r="E183" s="36"/>
      <c r="F183" s="4">
        <v>6</v>
      </c>
      <c r="G183" s="33"/>
      <c r="H183" s="4">
        <v>6</v>
      </c>
      <c r="I183" s="33"/>
      <c r="J183" s="4">
        <v>4</v>
      </c>
      <c r="K183" s="33"/>
      <c r="L183" s="4">
        <v>3</v>
      </c>
      <c r="M183" s="33"/>
      <c r="N183" s="4">
        <v>1</v>
      </c>
      <c r="O183" s="33"/>
      <c r="P183" s="4">
        <v>1</v>
      </c>
      <c r="Q183" s="33"/>
      <c r="R183" s="4">
        <v>1</v>
      </c>
      <c r="S183" s="33"/>
    </row>
    <row r="184" spans="1:24">
      <c r="A184" s="36"/>
      <c r="B184" s="2" t="s">
        <v>97</v>
      </c>
      <c r="C184" s="3" t="s">
        <v>39</v>
      </c>
      <c r="D184" s="36"/>
      <c r="E184" s="36"/>
      <c r="F184" s="4">
        <v>6</v>
      </c>
      <c r="G184" s="33"/>
      <c r="H184" s="4">
        <v>8</v>
      </c>
      <c r="I184" s="33"/>
      <c r="J184" s="4">
        <v>7</v>
      </c>
      <c r="K184" s="33"/>
      <c r="L184" s="4">
        <v>7</v>
      </c>
      <c r="M184" s="33"/>
      <c r="N184" s="4">
        <v>6</v>
      </c>
      <c r="O184" s="33"/>
      <c r="P184" s="4">
        <v>9</v>
      </c>
      <c r="Q184" s="33"/>
      <c r="R184" s="4">
        <v>8</v>
      </c>
      <c r="S184" s="33"/>
    </row>
    <row r="185" spans="1:24">
      <c r="A185" s="36"/>
      <c r="B185" s="2" t="s">
        <v>98</v>
      </c>
      <c r="C185" s="3" t="s">
        <v>40</v>
      </c>
      <c r="D185" s="36"/>
      <c r="E185" s="36"/>
      <c r="F185" s="4">
        <v>8</v>
      </c>
      <c r="G185" s="33"/>
      <c r="H185" s="4">
        <v>8</v>
      </c>
      <c r="I185" s="33"/>
      <c r="J185" s="4">
        <v>8</v>
      </c>
      <c r="K185" s="33"/>
      <c r="L185" s="4">
        <v>9</v>
      </c>
      <c r="M185" s="33"/>
      <c r="N185" s="4">
        <v>9</v>
      </c>
      <c r="O185" s="33"/>
      <c r="P185" s="4">
        <v>9</v>
      </c>
      <c r="Q185" s="33"/>
      <c r="R185" s="4">
        <v>3</v>
      </c>
      <c r="S185" s="33"/>
    </row>
    <row r="186" spans="1:24">
      <c r="A186" s="36"/>
      <c r="B186" s="2" t="s">
        <v>99</v>
      </c>
      <c r="C186" s="3" t="s">
        <v>41</v>
      </c>
      <c r="D186" s="36"/>
      <c r="E186" s="36"/>
      <c r="F186" s="4">
        <v>6</v>
      </c>
      <c r="G186" s="33"/>
      <c r="H186" s="4">
        <v>6</v>
      </c>
      <c r="I186" s="33"/>
      <c r="J186" s="4">
        <v>5</v>
      </c>
      <c r="K186" s="33"/>
      <c r="L186" s="4">
        <v>5</v>
      </c>
      <c r="M186" s="33"/>
      <c r="N186" s="4">
        <v>5</v>
      </c>
      <c r="O186" s="33"/>
      <c r="P186" s="4">
        <v>6</v>
      </c>
      <c r="Q186" s="33"/>
      <c r="R186" s="4">
        <v>6</v>
      </c>
      <c r="S186" s="33"/>
    </row>
    <row r="187" spans="1:24">
      <c r="A187" s="36"/>
      <c r="B187" s="2" t="s">
        <v>100</v>
      </c>
      <c r="C187" s="3" t="s">
        <v>42</v>
      </c>
      <c r="D187" s="36"/>
      <c r="E187" s="36"/>
      <c r="F187" s="4">
        <v>7</v>
      </c>
      <c r="G187" s="33"/>
      <c r="H187" s="4">
        <v>8</v>
      </c>
      <c r="I187" s="33"/>
      <c r="J187" s="4">
        <v>7</v>
      </c>
      <c r="K187" s="33"/>
      <c r="L187" s="4">
        <v>8</v>
      </c>
      <c r="M187" s="33"/>
      <c r="N187" s="4">
        <v>8</v>
      </c>
      <c r="O187" s="33"/>
      <c r="P187" s="4">
        <v>8</v>
      </c>
      <c r="Q187" s="33"/>
      <c r="R187" s="4">
        <v>8</v>
      </c>
      <c r="S187" s="33"/>
      <c r="X187" s="1">
        <v>2280</v>
      </c>
    </row>
    <row r="188" spans="1:24">
      <c r="A188" s="36"/>
      <c r="B188" s="2" t="s">
        <v>101</v>
      </c>
      <c r="C188" s="3" t="s">
        <v>43</v>
      </c>
      <c r="D188" s="36"/>
      <c r="E188" s="36"/>
      <c r="F188" s="4">
        <v>7</v>
      </c>
      <c r="G188" s="33"/>
      <c r="H188" s="4">
        <v>8</v>
      </c>
      <c r="I188" s="33"/>
      <c r="J188" s="4">
        <v>7</v>
      </c>
      <c r="K188" s="33"/>
      <c r="L188" s="4">
        <v>7</v>
      </c>
      <c r="M188" s="33"/>
      <c r="N188" s="4">
        <v>7</v>
      </c>
      <c r="O188" s="33"/>
      <c r="P188" s="4">
        <v>8</v>
      </c>
      <c r="Q188" s="33"/>
      <c r="R188" s="4">
        <v>8</v>
      </c>
      <c r="S188" s="33"/>
    </row>
    <row r="189" spans="1:24">
      <c r="A189" s="36"/>
      <c r="B189" s="2" t="s">
        <v>102</v>
      </c>
      <c r="C189" s="3" t="s">
        <v>44</v>
      </c>
      <c r="D189" s="36"/>
      <c r="E189" s="36"/>
      <c r="F189" s="4">
        <v>10</v>
      </c>
      <c r="G189" s="33"/>
      <c r="H189" s="4">
        <v>10</v>
      </c>
      <c r="I189" s="33"/>
      <c r="J189" s="4">
        <v>10</v>
      </c>
      <c r="K189" s="33"/>
      <c r="L189" s="4">
        <v>10</v>
      </c>
      <c r="M189" s="33"/>
      <c r="N189" s="4">
        <v>10</v>
      </c>
      <c r="O189" s="33"/>
      <c r="P189" s="4">
        <v>10</v>
      </c>
      <c r="Q189" s="33"/>
      <c r="R189" s="4">
        <v>10</v>
      </c>
      <c r="S189" s="33"/>
    </row>
    <row r="190" spans="1:24">
      <c r="A190" s="36"/>
      <c r="B190" s="2" t="s">
        <v>103</v>
      </c>
      <c r="C190" s="3" t="s">
        <v>45</v>
      </c>
      <c r="D190" s="36"/>
      <c r="E190" s="36"/>
      <c r="F190" s="4">
        <v>4</v>
      </c>
      <c r="G190" s="33"/>
      <c r="H190" s="4">
        <v>5</v>
      </c>
      <c r="I190" s="33"/>
      <c r="J190" s="4">
        <v>3</v>
      </c>
      <c r="K190" s="33"/>
      <c r="L190" s="4">
        <v>3</v>
      </c>
      <c r="M190" s="33"/>
      <c r="N190" s="4">
        <v>8</v>
      </c>
      <c r="O190" s="33"/>
      <c r="P190" s="4">
        <v>4</v>
      </c>
      <c r="Q190" s="33"/>
      <c r="R190" s="4">
        <v>4</v>
      </c>
      <c r="S190" s="33"/>
    </row>
    <row r="191" spans="1:24">
      <c r="A191" s="38" t="s">
        <v>5</v>
      </c>
      <c r="B191" s="9" t="s">
        <v>95</v>
      </c>
      <c r="C191" s="10" t="s">
        <v>4</v>
      </c>
      <c r="D191" s="38" t="s">
        <v>29</v>
      </c>
      <c r="E191" s="38" t="s">
        <v>31</v>
      </c>
      <c r="F191" s="11">
        <v>8</v>
      </c>
      <c r="G191" s="40">
        <v>6.5555555555555554</v>
      </c>
      <c r="H191" s="11">
        <v>7</v>
      </c>
      <c r="I191" s="40">
        <v>7</v>
      </c>
      <c r="J191" s="11">
        <v>7</v>
      </c>
      <c r="K191" s="40">
        <v>7</v>
      </c>
      <c r="L191" s="11">
        <v>8</v>
      </c>
      <c r="M191" s="40">
        <v>7.2222222222222223</v>
      </c>
      <c r="N191" s="11">
        <v>8</v>
      </c>
      <c r="O191" s="40">
        <v>6.8888888888888893</v>
      </c>
      <c r="P191" s="11">
        <v>9</v>
      </c>
      <c r="Q191" s="40">
        <f t="shared" ref="Q191" si="40">SUM(P191:P199)/9</f>
        <v>7.1111111111111107</v>
      </c>
      <c r="R191" s="11">
        <v>10</v>
      </c>
      <c r="S191" s="40">
        <f t="shared" ref="S191" si="41">SUM(R191:R199)/9</f>
        <v>7.1111111111111107</v>
      </c>
    </row>
    <row r="192" spans="1:24">
      <c r="A192" s="39"/>
      <c r="B192" s="9" t="s">
        <v>96</v>
      </c>
      <c r="C192" s="10" t="s">
        <v>38</v>
      </c>
      <c r="D192" s="39"/>
      <c r="E192" s="39"/>
      <c r="F192" s="11">
        <v>8</v>
      </c>
      <c r="G192" s="41"/>
      <c r="H192" s="11">
        <v>8</v>
      </c>
      <c r="I192" s="41"/>
      <c r="J192" s="11">
        <v>8</v>
      </c>
      <c r="K192" s="41"/>
      <c r="L192" s="11">
        <v>8</v>
      </c>
      <c r="M192" s="41"/>
      <c r="N192" s="11">
        <v>8</v>
      </c>
      <c r="O192" s="41"/>
      <c r="P192" s="11">
        <v>7</v>
      </c>
      <c r="Q192" s="41"/>
      <c r="R192" s="11">
        <v>6</v>
      </c>
      <c r="S192" s="41"/>
    </row>
    <row r="193" spans="1:22">
      <c r="A193" s="39"/>
      <c r="B193" s="9" t="s">
        <v>97</v>
      </c>
      <c r="C193" s="10" t="s">
        <v>39</v>
      </c>
      <c r="D193" s="39"/>
      <c r="E193" s="39"/>
      <c r="F193" s="11">
        <v>6</v>
      </c>
      <c r="G193" s="41"/>
      <c r="H193" s="11">
        <v>8</v>
      </c>
      <c r="I193" s="41"/>
      <c r="J193" s="11">
        <v>7</v>
      </c>
      <c r="K193" s="41"/>
      <c r="L193" s="11">
        <v>8</v>
      </c>
      <c r="M193" s="41"/>
      <c r="N193" s="11">
        <v>6</v>
      </c>
      <c r="O193" s="41"/>
      <c r="P193" s="11">
        <v>10</v>
      </c>
      <c r="Q193" s="41"/>
      <c r="R193" s="11">
        <v>8</v>
      </c>
      <c r="S193" s="41"/>
    </row>
    <row r="194" spans="1:22">
      <c r="A194" s="39"/>
      <c r="B194" s="9" t="s">
        <v>98</v>
      </c>
      <c r="C194" s="10" t="s">
        <v>40</v>
      </c>
      <c r="D194" s="39"/>
      <c r="E194" s="39"/>
      <c r="F194" s="11">
        <v>8</v>
      </c>
      <c r="G194" s="41"/>
      <c r="H194" s="11">
        <v>8</v>
      </c>
      <c r="I194" s="41"/>
      <c r="J194" s="11">
        <v>8</v>
      </c>
      <c r="K194" s="41"/>
      <c r="L194" s="11">
        <v>8</v>
      </c>
      <c r="M194" s="41"/>
      <c r="N194" s="11">
        <v>8</v>
      </c>
      <c r="O194" s="41"/>
      <c r="P194" s="11">
        <v>8</v>
      </c>
      <c r="Q194" s="41"/>
      <c r="R194" s="11">
        <v>9</v>
      </c>
      <c r="S194" s="41"/>
    </row>
    <row r="195" spans="1:22">
      <c r="A195" s="39"/>
      <c r="B195" s="9" t="s">
        <v>99</v>
      </c>
      <c r="C195" s="10" t="s">
        <v>41</v>
      </c>
      <c r="D195" s="39"/>
      <c r="E195" s="39"/>
      <c r="F195" s="11">
        <v>6</v>
      </c>
      <c r="G195" s="41"/>
      <c r="H195" s="11">
        <v>6</v>
      </c>
      <c r="I195" s="41"/>
      <c r="J195" s="11">
        <v>5</v>
      </c>
      <c r="K195" s="41"/>
      <c r="L195" s="11">
        <v>5</v>
      </c>
      <c r="M195" s="41"/>
      <c r="N195" s="11">
        <v>5</v>
      </c>
      <c r="O195" s="41"/>
      <c r="P195" s="11">
        <v>5</v>
      </c>
      <c r="Q195" s="41"/>
      <c r="R195" s="11">
        <v>5</v>
      </c>
      <c r="S195" s="41"/>
    </row>
    <row r="196" spans="1:22">
      <c r="A196" s="39"/>
      <c r="B196" s="9" t="s">
        <v>100</v>
      </c>
      <c r="C196" s="10" t="s">
        <v>42</v>
      </c>
      <c r="D196" s="39"/>
      <c r="E196" s="39"/>
      <c r="F196" s="11">
        <v>6</v>
      </c>
      <c r="G196" s="41"/>
      <c r="H196" s="11">
        <v>7</v>
      </c>
      <c r="I196" s="41"/>
      <c r="J196" s="11">
        <v>6</v>
      </c>
      <c r="K196" s="41"/>
      <c r="L196" s="11">
        <v>6</v>
      </c>
      <c r="M196" s="41"/>
      <c r="N196" s="11">
        <v>7</v>
      </c>
      <c r="O196" s="41"/>
      <c r="P196" s="11">
        <v>7</v>
      </c>
      <c r="Q196" s="41"/>
      <c r="R196" s="11">
        <v>7</v>
      </c>
      <c r="S196" s="41"/>
      <c r="V196" s="1">
        <v>1980</v>
      </c>
    </row>
    <row r="197" spans="1:22">
      <c r="A197" s="39"/>
      <c r="B197" s="9" t="s">
        <v>101</v>
      </c>
      <c r="C197" s="10" t="s">
        <v>43</v>
      </c>
      <c r="D197" s="39"/>
      <c r="E197" s="39"/>
      <c r="F197" s="11">
        <v>6</v>
      </c>
      <c r="G197" s="41"/>
      <c r="H197" s="11">
        <v>7</v>
      </c>
      <c r="I197" s="41"/>
      <c r="J197" s="11">
        <v>6</v>
      </c>
      <c r="K197" s="41"/>
      <c r="L197" s="11">
        <v>6</v>
      </c>
      <c r="M197" s="41"/>
      <c r="N197" s="11">
        <v>6</v>
      </c>
      <c r="O197" s="41"/>
      <c r="P197" s="11">
        <v>6</v>
      </c>
      <c r="Q197" s="41"/>
      <c r="R197" s="11">
        <v>7</v>
      </c>
      <c r="S197" s="41"/>
    </row>
    <row r="198" spans="1:22">
      <c r="A198" s="39"/>
      <c r="B198" s="9" t="s">
        <v>102</v>
      </c>
      <c r="C198" s="10" t="s">
        <v>44</v>
      </c>
      <c r="D198" s="39"/>
      <c r="E198" s="39"/>
      <c r="F198" s="11">
        <v>10</v>
      </c>
      <c r="G198" s="41"/>
      <c r="H198" s="11">
        <v>10</v>
      </c>
      <c r="I198" s="41"/>
      <c r="J198" s="11">
        <v>10</v>
      </c>
      <c r="K198" s="41"/>
      <c r="L198" s="11">
        <v>10</v>
      </c>
      <c r="M198" s="41"/>
      <c r="N198" s="11">
        <v>10</v>
      </c>
      <c r="O198" s="41"/>
      <c r="P198" s="11">
        <v>9</v>
      </c>
      <c r="Q198" s="41"/>
      <c r="R198" s="11">
        <v>9</v>
      </c>
      <c r="S198" s="41"/>
    </row>
    <row r="199" spans="1:22">
      <c r="A199" s="39"/>
      <c r="B199" s="9" t="s">
        <v>103</v>
      </c>
      <c r="C199" s="10" t="s">
        <v>45</v>
      </c>
      <c r="D199" s="39"/>
      <c r="E199" s="39"/>
      <c r="F199" s="11">
        <v>1</v>
      </c>
      <c r="G199" s="41"/>
      <c r="H199" s="11">
        <v>2</v>
      </c>
      <c r="I199" s="41"/>
      <c r="J199" s="11">
        <v>6</v>
      </c>
      <c r="K199" s="41"/>
      <c r="L199" s="11">
        <v>6</v>
      </c>
      <c r="M199" s="41"/>
      <c r="N199" s="11">
        <v>4</v>
      </c>
      <c r="O199" s="41"/>
      <c r="P199" s="11">
        <v>3</v>
      </c>
      <c r="Q199" s="41"/>
      <c r="R199" s="11">
        <v>3</v>
      </c>
      <c r="S199" s="41"/>
    </row>
    <row r="200" spans="1:22">
      <c r="A200" s="35" t="s">
        <v>5</v>
      </c>
      <c r="B200" s="2" t="s">
        <v>95</v>
      </c>
      <c r="C200" s="3" t="s">
        <v>4</v>
      </c>
      <c r="D200" s="35" t="s">
        <v>29</v>
      </c>
      <c r="E200" s="35" t="s">
        <v>32</v>
      </c>
      <c r="F200" s="4">
        <v>8</v>
      </c>
      <c r="G200" s="32">
        <v>7.666666666666667</v>
      </c>
      <c r="H200" s="4">
        <v>8</v>
      </c>
      <c r="I200" s="32">
        <v>8</v>
      </c>
      <c r="J200" s="4">
        <v>8</v>
      </c>
      <c r="K200" s="32">
        <v>6.7777777777777777</v>
      </c>
      <c r="L200" s="4">
        <v>8</v>
      </c>
      <c r="M200" s="32">
        <v>7.666666666666667</v>
      </c>
      <c r="N200" s="4">
        <v>9</v>
      </c>
      <c r="O200" s="32">
        <v>8</v>
      </c>
      <c r="P200" s="4">
        <v>9</v>
      </c>
      <c r="Q200" s="32">
        <f t="shared" ref="Q200" si="42">SUM(P200:P208)/9</f>
        <v>7.666666666666667</v>
      </c>
      <c r="R200" s="4">
        <v>10</v>
      </c>
      <c r="S200" s="32">
        <f t="shared" ref="S200" si="43">SUM(R200:R208)/9</f>
        <v>7.5555555555555554</v>
      </c>
    </row>
    <row r="201" spans="1:22">
      <c r="A201" s="36"/>
      <c r="B201" s="2" t="s">
        <v>96</v>
      </c>
      <c r="C201" s="3" t="s">
        <v>38</v>
      </c>
      <c r="D201" s="36"/>
      <c r="E201" s="36"/>
      <c r="F201" s="4">
        <v>9</v>
      </c>
      <c r="G201" s="33"/>
      <c r="H201" s="4">
        <v>9</v>
      </c>
      <c r="I201" s="33"/>
      <c r="J201" s="4">
        <v>2</v>
      </c>
      <c r="K201" s="33"/>
      <c r="L201" s="4">
        <v>9</v>
      </c>
      <c r="M201" s="33"/>
      <c r="N201" s="4">
        <v>9</v>
      </c>
      <c r="O201" s="33"/>
      <c r="P201" s="4">
        <v>9</v>
      </c>
      <c r="Q201" s="33"/>
      <c r="R201" s="4">
        <v>9</v>
      </c>
      <c r="S201" s="33"/>
    </row>
    <row r="202" spans="1:22">
      <c r="A202" s="36"/>
      <c r="B202" s="2" t="s">
        <v>97</v>
      </c>
      <c r="C202" s="3" t="s">
        <v>39</v>
      </c>
      <c r="D202" s="36"/>
      <c r="E202" s="36"/>
      <c r="F202" s="4">
        <v>9</v>
      </c>
      <c r="G202" s="33"/>
      <c r="H202" s="4">
        <v>10</v>
      </c>
      <c r="I202" s="33"/>
      <c r="J202" s="4">
        <v>9</v>
      </c>
      <c r="K202" s="33"/>
      <c r="L202" s="4">
        <v>8</v>
      </c>
      <c r="M202" s="33"/>
      <c r="N202" s="4">
        <v>10</v>
      </c>
      <c r="O202" s="33"/>
      <c r="P202" s="4">
        <v>9</v>
      </c>
      <c r="Q202" s="33"/>
      <c r="R202" s="4">
        <v>7</v>
      </c>
      <c r="S202" s="33"/>
    </row>
    <row r="203" spans="1:22">
      <c r="A203" s="36"/>
      <c r="B203" s="2" t="s">
        <v>98</v>
      </c>
      <c r="C203" s="3" t="s">
        <v>40</v>
      </c>
      <c r="D203" s="36"/>
      <c r="E203" s="36"/>
      <c r="F203" s="4">
        <v>9</v>
      </c>
      <c r="G203" s="33"/>
      <c r="H203" s="4">
        <v>9</v>
      </c>
      <c r="I203" s="33"/>
      <c r="J203" s="4">
        <v>9</v>
      </c>
      <c r="K203" s="33"/>
      <c r="L203" s="4">
        <v>9</v>
      </c>
      <c r="M203" s="33"/>
      <c r="N203" s="4">
        <v>9</v>
      </c>
      <c r="O203" s="33"/>
      <c r="P203" s="4">
        <v>9</v>
      </c>
      <c r="Q203" s="33"/>
      <c r="R203" s="4">
        <v>9</v>
      </c>
      <c r="S203" s="33"/>
    </row>
    <row r="204" spans="1:22">
      <c r="A204" s="36"/>
      <c r="B204" s="2" t="s">
        <v>99</v>
      </c>
      <c r="C204" s="3" t="s">
        <v>41</v>
      </c>
      <c r="D204" s="36"/>
      <c r="E204" s="36"/>
      <c r="F204" s="4">
        <v>6</v>
      </c>
      <c r="G204" s="33"/>
      <c r="H204" s="4">
        <v>6</v>
      </c>
      <c r="I204" s="33"/>
      <c r="J204" s="4">
        <v>5</v>
      </c>
      <c r="K204" s="33"/>
      <c r="L204" s="4">
        <v>5</v>
      </c>
      <c r="M204" s="33"/>
      <c r="N204" s="4">
        <v>5</v>
      </c>
      <c r="O204" s="33"/>
      <c r="P204" s="4">
        <v>6</v>
      </c>
      <c r="Q204" s="33"/>
      <c r="R204" s="4">
        <v>6</v>
      </c>
      <c r="S204" s="33"/>
    </row>
    <row r="205" spans="1:22">
      <c r="A205" s="36"/>
      <c r="B205" s="2" t="s">
        <v>100</v>
      </c>
      <c r="C205" s="3" t="s">
        <v>42</v>
      </c>
      <c r="D205" s="36"/>
      <c r="E205" s="36"/>
      <c r="F205" s="4">
        <v>7</v>
      </c>
      <c r="G205" s="33"/>
      <c r="H205" s="4">
        <v>8</v>
      </c>
      <c r="I205" s="33"/>
      <c r="J205" s="4">
        <v>7</v>
      </c>
      <c r="K205" s="33"/>
      <c r="L205" s="4">
        <v>8</v>
      </c>
      <c r="M205" s="33"/>
      <c r="N205" s="4">
        <v>8</v>
      </c>
      <c r="O205" s="33"/>
      <c r="P205" s="4">
        <v>7</v>
      </c>
      <c r="Q205" s="33"/>
      <c r="R205" s="4">
        <v>7</v>
      </c>
      <c r="S205" s="33"/>
      <c r="V205" s="1">
        <v>120</v>
      </c>
    </row>
    <row r="206" spans="1:22">
      <c r="A206" s="36"/>
      <c r="B206" s="2" t="s">
        <v>101</v>
      </c>
      <c r="C206" s="3" t="s">
        <v>43</v>
      </c>
      <c r="D206" s="36"/>
      <c r="E206" s="36"/>
      <c r="F206" s="4">
        <v>9</v>
      </c>
      <c r="G206" s="33"/>
      <c r="H206" s="4">
        <v>9</v>
      </c>
      <c r="I206" s="33"/>
      <c r="J206" s="4">
        <v>8</v>
      </c>
      <c r="K206" s="33"/>
      <c r="L206" s="4">
        <v>9</v>
      </c>
      <c r="M206" s="33"/>
      <c r="N206" s="4">
        <v>8</v>
      </c>
      <c r="O206" s="33"/>
      <c r="P206" s="4">
        <v>8</v>
      </c>
      <c r="Q206" s="33"/>
      <c r="R206" s="4">
        <v>8</v>
      </c>
      <c r="S206" s="33"/>
    </row>
    <row r="207" spans="1:22">
      <c r="A207" s="36"/>
      <c r="B207" s="2" t="s">
        <v>102</v>
      </c>
      <c r="C207" s="3" t="s">
        <v>44</v>
      </c>
      <c r="D207" s="36"/>
      <c r="E207" s="36"/>
      <c r="F207" s="4">
        <v>10</v>
      </c>
      <c r="G207" s="33"/>
      <c r="H207" s="4">
        <v>10</v>
      </c>
      <c r="I207" s="33"/>
      <c r="J207" s="4">
        <v>10</v>
      </c>
      <c r="K207" s="33"/>
      <c r="L207" s="4">
        <v>10</v>
      </c>
      <c r="M207" s="33"/>
      <c r="N207" s="4">
        <v>10</v>
      </c>
      <c r="O207" s="33"/>
      <c r="P207" s="4">
        <v>10</v>
      </c>
      <c r="Q207" s="33"/>
      <c r="R207" s="4">
        <v>10</v>
      </c>
      <c r="S207" s="33"/>
    </row>
    <row r="208" spans="1:22">
      <c r="A208" s="36"/>
      <c r="B208" s="2" t="s">
        <v>103</v>
      </c>
      <c r="C208" s="3" t="s">
        <v>45</v>
      </c>
      <c r="D208" s="36"/>
      <c r="E208" s="36"/>
      <c r="F208" s="4">
        <v>2</v>
      </c>
      <c r="G208" s="33"/>
      <c r="H208" s="4">
        <v>3</v>
      </c>
      <c r="I208" s="33"/>
      <c r="J208" s="4">
        <v>3</v>
      </c>
      <c r="K208" s="33"/>
      <c r="L208" s="4">
        <v>3</v>
      </c>
      <c r="M208" s="33"/>
      <c r="N208" s="4">
        <v>4</v>
      </c>
      <c r="O208" s="33"/>
      <c r="P208" s="4">
        <v>2</v>
      </c>
      <c r="Q208" s="33"/>
      <c r="R208" s="4">
        <v>2</v>
      </c>
      <c r="S208" s="33"/>
    </row>
    <row r="209" spans="1:22">
      <c r="A209" s="38" t="s">
        <v>5</v>
      </c>
      <c r="B209" s="9" t="s">
        <v>95</v>
      </c>
      <c r="C209" s="10" t="s">
        <v>4</v>
      </c>
      <c r="D209" s="38" t="s">
        <v>29</v>
      </c>
      <c r="E209" s="38" t="s">
        <v>33</v>
      </c>
      <c r="F209" s="11">
        <v>10</v>
      </c>
      <c r="G209" s="40">
        <v>8.3333333333333339</v>
      </c>
      <c r="H209" s="11">
        <v>10</v>
      </c>
      <c r="I209" s="40">
        <v>8.5555555555555554</v>
      </c>
      <c r="J209" s="11">
        <v>10</v>
      </c>
      <c r="K209" s="40">
        <v>8.7777777777777786</v>
      </c>
      <c r="L209" s="11">
        <v>10</v>
      </c>
      <c r="M209" s="40">
        <v>8.5555555555555554</v>
      </c>
      <c r="N209" s="11">
        <v>10</v>
      </c>
      <c r="O209" s="40">
        <v>8.7777777777777786</v>
      </c>
      <c r="P209" s="11">
        <v>10</v>
      </c>
      <c r="Q209" s="40">
        <f t="shared" ref="Q209" si="44">SUM(P209:P217)/9</f>
        <v>8.5555555555555554</v>
      </c>
      <c r="R209" s="11">
        <v>10</v>
      </c>
      <c r="S209" s="40">
        <f t="shared" ref="S209" si="45">SUM(R209:R217)/9</f>
        <v>8.2222222222222214</v>
      </c>
    </row>
    <row r="210" spans="1:22">
      <c r="A210" s="39"/>
      <c r="B210" s="9" t="s">
        <v>96</v>
      </c>
      <c r="C210" s="10" t="s">
        <v>38</v>
      </c>
      <c r="D210" s="39"/>
      <c r="E210" s="39"/>
      <c r="F210" s="11">
        <v>3</v>
      </c>
      <c r="G210" s="41"/>
      <c r="H210" s="11">
        <v>4</v>
      </c>
      <c r="I210" s="41"/>
      <c r="J210" s="11">
        <v>5</v>
      </c>
      <c r="K210" s="41"/>
      <c r="L210" s="11">
        <v>5</v>
      </c>
      <c r="M210" s="41"/>
      <c r="N210" s="11">
        <v>6</v>
      </c>
      <c r="O210" s="41"/>
      <c r="P210" s="11">
        <v>6</v>
      </c>
      <c r="Q210" s="41"/>
      <c r="R210" s="11">
        <v>3</v>
      </c>
      <c r="S210" s="41"/>
    </row>
    <row r="211" spans="1:22">
      <c r="A211" s="39"/>
      <c r="B211" s="9" t="s">
        <v>97</v>
      </c>
      <c r="C211" s="10" t="s">
        <v>39</v>
      </c>
      <c r="D211" s="39"/>
      <c r="E211" s="39"/>
      <c r="F211" s="11">
        <v>10</v>
      </c>
      <c r="G211" s="41"/>
      <c r="H211" s="11">
        <v>10</v>
      </c>
      <c r="I211" s="41"/>
      <c r="J211" s="11">
        <v>10</v>
      </c>
      <c r="K211" s="41"/>
      <c r="L211" s="11">
        <v>9</v>
      </c>
      <c r="M211" s="41"/>
      <c r="N211" s="11">
        <v>9</v>
      </c>
      <c r="O211" s="41"/>
      <c r="P211" s="11">
        <v>8</v>
      </c>
      <c r="Q211" s="41"/>
      <c r="R211" s="11">
        <v>8</v>
      </c>
      <c r="S211" s="41"/>
    </row>
    <row r="212" spans="1:22">
      <c r="A212" s="39"/>
      <c r="B212" s="9" t="s">
        <v>98</v>
      </c>
      <c r="C212" s="10" t="s">
        <v>40</v>
      </c>
      <c r="D212" s="39"/>
      <c r="E212" s="39"/>
      <c r="F212" s="11">
        <v>10</v>
      </c>
      <c r="G212" s="41"/>
      <c r="H212" s="11">
        <v>10</v>
      </c>
      <c r="I212" s="41"/>
      <c r="J212" s="11">
        <v>10</v>
      </c>
      <c r="K212" s="41"/>
      <c r="L212" s="11">
        <v>10</v>
      </c>
      <c r="M212" s="41"/>
      <c r="N212" s="11">
        <v>10</v>
      </c>
      <c r="O212" s="41"/>
      <c r="P212" s="11">
        <v>10</v>
      </c>
      <c r="Q212" s="41"/>
      <c r="R212" s="11">
        <v>10</v>
      </c>
      <c r="S212" s="41"/>
    </row>
    <row r="213" spans="1:22">
      <c r="A213" s="39"/>
      <c r="B213" s="9" t="s">
        <v>99</v>
      </c>
      <c r="C213" s="10" t="s">
        <v>41</v>
      </c>
      <c r="D213" s="39"/>
      <c r="E213" s="39"/>
      <c r="F213" s="11">
        <v>10</v>
      </c>
      <c r="G213" s="41"/>
      <c r="H213" s="11">
        <v>10</v>
      </c>
      <c r="I213" s="41"/>
      <c r="J213" s="11">
        <v>10</v>
      </c>
      <c r="K213" s="41"/>
      <c r="L213" s="11">
        <v>10</v>
      </c>
      <c r="M213" s="41"/>
      <c r="N213" s="11">
        <v>10</v>
      </c>
      <c r="O213" s="41"/>
      <c r="P213" s="11">
        <v>10</v>
      </c>
      <c r="Q213" s="41"/>
      <c r="R213" s="11">
        <v>10</v>
      </c>
      <c r="S213" s="41"/>
    </row>
    <row r="214" spans="1:22">
      <c r="A214" s="39"/>
      <c r="B214" s="9" t="s">
        <v>100</v>
      </c>
      <c r="C214" s="10" t="s">
        <v>42</v>
      </c>
      <c r="D214" s="39"/>
      <c r="E214" s="39"/>
      <c r="F214" s="11">
        <v>2</v>
      </c>
      <c r="G214" s="41"/>
      <c r="H214" s="11">
        <v>3</v>
      </c>
      <c r="I214" s="41"/>
      <c r="J214" s="11">
        <v>4</v>
      </c>
      <c r="K214" s="41"/>
      <c r="L214" s="11">
        <v>3</v>
      </c>
      <c r="M214" s="41"/>
      <c r="N214" s="11">
        <v>4</v>
      </c>
      <c r="O214" s="41"/>
      <c r="P214" s="11">
        <v>4</v>
      </c>
      <c r="Q214" s="41"/>
      <c r="R214" s="11">
        <v>4</v>
      </c>
      <c r="S214" s="41"/>
      <c r="V214" s="1">
        <v>2100</v>
      </c>
    </row>
    <row r="215" spans="1:22">
      <c r="A215" s="39"/>
      <c r="B215" s="9" t="s">
        <v>101</v>
      </c>
      <c r="C215" s="10" t="s">
        <v>43</v>
      </c>
      <c r="D215" s="39"/>
      <c r="E215" s="39"/>
      <c r="F215" s="11">
        <v>10</v>
      </c>
      <c r="G215" s="41"/>
      <c r="H215" s="11">
        <v>10</v>
      </c>
      <c r="I215" s="41"/>
      <c r="J215" s="11">
        <v>10</v>
      </c>
      <c r="K215" s="41"/>
      <c r="L215" s="11">
        <v>10</v>
      </c>
      <c r="M215" s="41"/>
      <c r="N215" s="11">
        <v>10</v>
      </c>
      <c r="O215" s="41"/>
      <c r="P215" s="11">
        <v>9</v>
      </c>
      <c r="Q215" s="41"/>
      <c r="R215" s="11">
        <v>9</v>
      </c>
      <c r="S215" s="41"/>
    </row>
    <row r="216" spans="1:22">
      <c r="A216" s="39"/>
      <c r="B216" s="9" t="s">
        <v>102</v>
      </c>
      <c r="C216" s="10" t="s">
        <v>44</v>
      </c>
      <c r="D216" s="39"/>
      <c r="E216" s="39"/>
      <c r="F216" s="11">
        <v>10</v>
      </c>
      <c r="G216" s="41"/>
      <c r="H216" s="11">
        <v>10</v>
      </c>
      <c r="I216" s="41"/>
      <c r="J216" s="11">
        <v>10</v>
      </c>
      <c r="K216" s="41"/>
      <c r="L216" s="11">
        <v>10</v>
      </c>
      <c r="M216" s="41"/>
      <c r="N216" s="11">
        <v>10</v>
      </c>
      <c r="O216" s="41"/>
      <c r="P216" s="11">
        <v>10</v>
      </c>
      <c r="Q216" s="41"/>
      <c r="R216" s="11">
        <v>10</v>
      </c>
      <c r="S216" s="41"/>
    </row>
    <row r="217" spans="1:22">
      <c r="A217" s="39"/>
      <c r="B217" s="9" t="s">
        <v>103</v>
      </c>
      <c r="C217" s="10" t="s">
        <v>45</v>
      </c>
      <c r="D217" s="39"/>
      <c r="E217" s="39"/>
      <c r="F217" s="11">
        <v>10</v>
      </c>
      <c r="G217" s="41"/>
      <c r="H217" s="11">
        <v>10</v>
      </c>
      <c r="I217" s="41"/>
      <c r="J217" s="11">
        <v>10</v>
      </c>
      <c r="K217" s="41"/>
      <c r="L217" s="11">
        <v>10</v>
      </c>
      <c r="M217" s="41"/>
      <c r="N217" s="11">
        <v>10</v>
      </c>
      <c r="O217" s="41"/>
      <c r="P217" s="11">
        <v>10</v>
      </c>
      <c r="Q217" s="41"/>
      <c r="R217" s="11">
        <v>10</v>
      </c>
      <c r="S217" s="41"/>
    </row>
    <row r="218" spans="1:22">
      <c r="A218" s="35" t="s">
        <v>5</v>
      </c>
      <c r="B218" s="2" t="s">
        <v>95</v>
      </c>
      <c r="C218" s="3" t="s">
        <v>4</v>
      </c>
      <c r="D218" s="35" t="s">
        <v>34</v>
      </c>
      <c r="E218" s="35" t="s">
        <v>35</v>
      </c>
      <c r="F218" s="4">
        <v>10</v>
      </c>
      <c r="G218" s="32">
        <v>7.333333333333333</v>
      </c>
      <c r="H218" s="4">
        <v>9</v>
      </c>
      <c r="I218" s="32">
        <v>7.666666666666667</v>
      </c>
      <c r="J218" s="4">
        <v>9</v>
      </c>
      <c r="K218" s="32">
        <v>7.7777777777777777</v>
      </c>
      <c r="L218" s="4">
        <v>10</v>
      </c>
      <c r="M218" s="32">
        <v>8</v>
      </c>
      <c r="N218" s="4">
        <v>10</v>
      </c>
      <c r="O218" s="32">
        <v>8</v>
      </c>
      <c r="P218" s="4">
        <v>10</v>
      </c>
      <c r="Q218" s="32">
        <f t="shared" ref="Q218" si="46">SUM(P218:P226)/9</f>
        <v>7.7777777777777777</v>
      </c>
      <c r="R218" s="4">
        <v>10</v>
      </c>
      <c r="S218" s="32">
        <f t="shared" ref="S218" si="47">SUM(R218:R226)/9</f>
        <v>7.5555555555555554</v>
      </c>
    </row>
    <row r="219" spans="1:22">
      <c r="A219" s="36"/>
      <c r="B219" s="2" t="s">
        <v>96</v>
      </c>
      <c r="C219" s="3" t="s">
        <v>38</v>
      </c>
      <c r="D219" s="36"/>
      <c r="E219" s="36"/>
      <c r="F219" s="4">
        <v>6</v>
      </c>
      <c r="G219" s="33"/>
      <c r="H219" s="4">
        <v>7</v>
      </c>
      <c r="I219" s="33"/>
      <c r="J219" s="4">
        <v>7</v>
      </c>
      <c r="K219" s="33"/>
      <c r="L219" s="4">
        <v>7</v>
      </c>
      <c r="M219" s="33"/>
      <c r="N219" s="4">
        <v>7</v>
      </c>
      <c r="O219" s="33"/>
      <c r="P219" s="4">
        <v>8</v>
      </c>
      <c r="Q219" s="33"/>
      <c r="R219" s="4">
        <v>6</v>
      </c>
      <c r="S219" s="33"/>
    </row>
    <row r="220" spans="1:22">
      <c r="A220" s="36"/>
      <c r="B220" s="2" t="s">
        <v>97</v>
      </c>
      <c r="C220" s="3" t="s">
        <v>39</v>
      </c>
      <c r="D220" s="36"/>
      <c r="E220" s="36"/>
      <c r="F220" s="4">
        <v>8</v>
      </c>
      <c r="G220" s="33"/>
      <c r="H220" s="4">
        <v>10</v>
      </c>
      <c r="I220" s="33"/>
      <c r="J220" s="4">
        <v>9</v>
      </c>
      <c r="K220" s="33"/>
      <c r="L220" s="4">
        <v>10</v>
      </c>
      <c r="M220" s="33"/>
      <c r="N220" s="4">
        <v>10</v>
      </c>
      <c r="O220" s="33"/>
      <c r="P220" s="4">
        <v>10</v>
      </c>
      <c r="Q220" s="33"/>
      <c r="R220" s="4">
        <v>9</v>
      </c>
      <c r="S220" s="33"/>
    </row>
    <row r="221" spans="1:22">
      <c r="A221" s="36"/>
      <c r="B221" s="2" t="s">
        <v>98</v>
      </c>
      <c r="C221" s="3" t="s">
        <v>40</v>
      </c>
      <c r="D221" s="36"/>
      <c r="E221" s="36"/>
      <c r="F221" s="4">
        <v>8</v>
      </c>
      <c r="G221" s="33"/>
      <c r="H221" s="4">
        <v>8</v>
      </c>
      <c r="I221" s="33"/>
      <c r="J221" s="4">
        <v>8</v>
      </c>
      <c r="K221" s="33"/>
      <c r="L221" s="4">
        <v>9</v>
      </c>
      <c r="M221" s="33"/>
      <c r="N221" s="4">
        <v>8</v>
      </c>
      <c r="O221" s="33"/>
      <c r="P221" s="4">
        <v>7</v>
      </c>
      <c r="Q221" s="33"/>
      <c r="R221" s="4">
        <v>8</v>
      </c>
      <c r="S221" s="33"/>
    </row>
    <row r="222" spans="1:22">
      <c r="A222" s="36"/>
      <c r="B222" s="2" t="s">
        <v>99</v>
      </c>
      <c r="C222" s="3" t="s">
        <v>41</v>
      </c>
      <c r="D222" s="36"/>
      <c r="E222" s="36"/>
      <c r="F222" s="4">
        <v>8</v>
      </c>
      <c r="G222" s="33"/>
      <c r="H222" s="4">
        <v>7</v>
      </c>
      <c r="I222" s="33"/>
      <c r="J222" s="4">
        <v>7</v>
      </c>
      <c r="K222" s="33"/>
      <c r="L222" s="4">
        <v>7</v>
      </c>
      <c r="M222" s="33"/>
      <c r="N222" s="4">
        <v>7</v>
      </c>
      <c r="O222" s="33"/>
      <c r="P222" s="4">
        <v>7</v>
      </c>
      <c r="Q222" s="33"/>
      <c r="R222" s="4">
        <v>7</v>
      </c>
      <c r="S222" s="33"/>
    </row>
    <row r="223" spans="1:22">
      <c r="A223" s="36"/>
      <c r="B223" s="2" t="s">
        <v>100</v>
      </c>
      <c r="C223" s="3" t="s">
        <v>42</v>
      </c>
      <c r="D223" s="36"/>
      <c r="E223" s="36"/>
      <c r="F223" s="4">
        <v>6</v>
      </c>
      <c r="G223" s="33"/>
      <c r="H223" s="4">
        <v>7</v>
      </c>
      <c r="I223" s="33"/>
      <c r="J223" s="4">
        <v>7</v>
      </c>
      <c r="K223" s="33"/>
      <c r="L223" s="4">
        <v>8</v>
      </c>
      <c r="M223" s="33"/>
      <c r="N223" s="4">
        <v>8</v>
      </c>
      <c r="O223" s="33"/>
      <c r="P223" s="4">
        <v>8</v>
      </c>
      <c r="Q223" s="33"/>
      <c r="R223" s="4">
        <v>8</v>
      </c>
      <c r="S223" s="33"/>
    </row>
    <row r="224" spans="1:22">
      <c r="A224" s="36"/>
      <c r="B224" s="2" t="s">
        <v>101</v>
      </c>
      <c r="C224" s="3" t="s">
        <v>43</v>
      </c>
      <c r="D224" s="36"/>
      <c r="E224" s="36"/>
      <c r="F224" s="4">
        <v>8</v>
      </c>
      <c r="G224" s="33"/>
      <c r="H224" s="4">
        <v>9</v>
      </c>
      <c r="I224" s="33"/>
      <c r="J224" s="4">
        <v>9</v>
      </c>
      <c r="K224" s="33"/>
      <c r="L224" s="4">
        <v>9</v>
      </c>
      <c r="M224" s="33"/>
      <c r="N224" s="4">
        <v>8</v>
      </c>
      <c r="O224" s="33"/>
      <c r="P224" s="4">
        <v>8</v>
      </c>
      <c r="Q224" s="33"/>
      <c r="R224" s="4">
        <v>8</v>
      </c>
      <c r="S224" s="33"/>
    </row>
    <row r="225" spans="1:19">
      <c r="A225" s="36"/>
      <c r="B225" s="2" t="s">
        <v>102</v>
      </c>
      <c r="C225" s="3" t="s">
        <v>44</v>
      </c>
      <c r="D225" s="36"/>
      <c r="E225" s="36"/>
      <c r="F225" s="4">
        <v>10</v>
      </c>
      <c r="G225" s="33"/>
      <c r="H225" s="4">
        <v>10</v>
      </c>
      <c r="I225" s="33"/>
      <c r="J225" s="4">
        <v>10</v>
      </c>
      <c r="K225" s="33"/>
      <c r="L225" s="4">
        <v>10</v>
      </c>
      <c r="M225" s="33"/>
      <c r="N225" s="4">
        <v>10</v>
      </c>
      <c r="O225" s="33"/>
      <c r="P225" s="4">
        <v>10</v>
      </c>
      <c r="Q225" s="33"/>
      <c r="R225" s="4">
        <v>10</v>
      </c>
      <c r="S225" s="33"/>
    </row>
    <row r="226" spans="1:19">
      <c r="A226" s="36"/>
      <c r="B226" s="2" t="s">
        <v>103</v>
      </c>
      <c r="C226" s="3" t="s">
        <v>45</v>
      </c>
      <c r="D226" s="36"/>
      <c r="E226" s="36"/>
      <c r="F226" s="4">
        <v>2</v>
      </c>
      <c r="G226" s="33"/>
      <c r="H226" s="4">
        <v>2</v>
      </c>
      <c r="I226" s="33"/>
      <c r="J226" s="4">
        <v>4</v>
      </c>
      <c r="K226" s="33"/>
      <c r="L226" s="4">
        <v>2</v>
      </c>
      <c r="M226" s="33"/>
      <c r="N226" s="4">
        <v>4</v>
      </c>
      <c r="O226" s="33"/>
      <c r="P226" s="4">
        <v>2</v>
      </c>
      <c r="Q226" s="33"/>
      <c r="R226" s="4">
        <v>2</v>
      </c>
      <c r="S226" s="33"/>
    </row>
    <row r="227" spans="1:19">
      <c r="A227" s="38" t="s">
        <v>5</v>
      </c>
      <c r="B227" s="9" t="s">
        <v>95</v>
      </c>
      <c r="C227" s="10" t="s">
        <v>4</v>
      </c>
      <c r="D227" s="38" t="s">
        <v>34</v>
      </c>
      <c r="E227" s="38" t="s">
        <v>36</v>
      </c>
      <c r="F227" s="11">
        <v>9</v>
      </c>
      <c r="G227" s="40">
        <v>8.8888888888888893</v>
      </c>
      <c r="H227" s="11">
        <v>9</v>
      </c>
      <c r="I227" s="40">
        <v>9.3333333333333339</v>
      </c>
      <c r="J227" s="11">
        <v>8</v>
      </c>
      <c r="K227" s="40">
        <v>8.7777777777777786</v>
      </c>
      <c r="L227" s="11">
        <v>9</v>
      </c>
      <c r="M227" s="40">
        <v>8.7777777777777786</v>
      </c>
      <c r="N227" s="11">
        <v>9</v>
      </c>
      <c r="O227" s="40">
        <v>9</v>
      </c>
      <c r="P227" s="11">
        <v>10</v>
      </c>
      <c r="Q227" s="40">
        <f t="shared" ref="Q227" si="48">SUM(P227:P235)/9</f>
        <v>8.5555555555555554</v>
      </c>
      <c r="R227" s="11">
        <v>10</v>
      </c>
      <c r="S227" s="40">
        <f t="shared" ref="S227" si="49">SUM(R227:R235)/9</f>
        <v>8.3333333333333339</v>
      </c>
    </row>
    <row r="228" spans="1:19">
      <c r="A228" s="39"/>
      <c r="B228" s="9" t="s">
        <v>96</v>
      </c>
      <c r="C228" s="10" t="s">
        <v>38</v>
      </c>
      <c r="D228" s="39"/>
      <c r="E228" s="39"/>
      <c r="F228" s="11">
        <v>8</v>
      </c>
      <c r="G228" s="41"/>
      <c r="H228" s="11">
        <v>8</v>
      </c>
      <c r="I228" s="41"/>
      <c r="J228" s="11">
        <v>8</v>
      </c>
      <c r="K228" s="41"/>
      <c r="L228" s="11">
        <v>7</v>
      </c>
      <c r="M228" s="41"/>
      <c r="N228" s="11">
        <v>7</v>
      </c>
      <c r="O228" s="41"/>
      <c r="P228" s="11">
        <v>7</v>
      </c>
      <c r="Q228" s="41"/>
      <c r="R228" s="11">
        <v>6</v>
      </c>
      <c r="S228" s="41"/>
    </row>
    <row r="229" spans="1:19">
      <c r="A229" s="39"/>
      <c r="B229" s="9" t="s">
        <v>97</v>
      </c>
      <c r="C229" s="10" t="s">
        <v>39</v>
      </c>
      <c r="D229" s="39"/>
      <c r="E229" s="39"/>
      <c r="F229" s="11">
        <v>9</v>
      </c>
      <c r="G229" s="41"/>
      <c r="H229" s="11">
        <v>10</v>
      </c>
      <c r="I229" s="41"/>
      <c r="J229" s="11">
        <v>8</v>
      </c>
      <c r="K229" s="41"/>
      <c r="L229" s="11">
        <v>10</v>
      </c>
      <c r="M229" s="41"/>
      <c r="N229" s="11">
        <v>10</v>
      </c>
      <c r="O229" s="41"/>
      <c r="P229" s="11">
        <v>9</v>
      </c>
      <c r="Q229" s="41"/>
      <c r="R229" s="11">
        <v>8</v>
      </c>
      <c r="S229" s="41"/>
    </row>
    <row r="230" spans="1:19">
      <c r="A230" s="39"/>
      <c r="B230" s="9" t="s">
        <v>98</v>
      </c>
      <c r="C230" s="10" t="s">
        <v>40</v>
      </c>
      <c r="D230" s="39"/>
      <c r="E230" s="39"/>
      <c r="F230" s="11">
        <v>10</v>
      </c>
      <c r="G230" s="41"/>
      <c r="H230" s="11">
        <v>10</v>
      </c>
      <c r="I230" s="41"/>
      <c r="J230" s="11">
        <v>10</v>
      </c>
      <c r="K230" s="41"/>
      <c r="L230" s="11">
        <v>10</v>
      </c>
      <c r="M230" s="41"/>
      <c r="N230" s="11">
        <v>9</v>
      </c>
      <c r="O230" s="41"/>
      <c r="P230" s="11">
        <v>9</v>
      </c>
      <c r="Q230" s="41"/>
      <c r="R230" s="11">
        <v>9</v>
      </c>
      <c r="S230" s="41"/>
    </row>
    <row r="231" spans="1:19">
      <c r="A231" s="39"/>
      <c r="B231" s="9" t="s">
        <v>99</v>
      </c>
      <c r="C231" s="10" t="s">
        <v>41</v>
      </c>
      <c r="D231" s="39"/>
      <c r="E231" s="39"/>
      <c r="F231" s="11">
        <v>9</v>
      </c>
      <c r="G231" s="41"/>
      <c r="H231" s="11">
        <v>9</v>
      </c>
      <c r="I231" s="41"/>
      <c r="J231" s="11">
        <v>9</v>
      </c>
      <c r="K231" s="41"/>
      <c r="L231" s="11">
        <v>9</v>
      </c>
      <c r="M231" s="41"/>
      <c r="N231" s="11">
        <v>9</v>
      </c>
      <c r="O231" s="41"/>
      <c r="P231" s="11">
        <v>8</v>
      </c>
      <c r="Q231" s="41"/>
      <c r="R231" s="11">
        <v>8</v>
      </c>
      <c r="S231" s="41"/>
    </row>
    <row r="232" spans="1:19">
      <c r="A232" s="39"/>
      <c r="B232" s="9" t="s">
        <v>100</v>
      </c>
      <c r="C232" s="10" t="s">
        <v>42</v>
      </c>
      <c r="D232" s="39"/>
      <c r="E232" s="39"/>
      <c r="F232" s="11">
        <v>10</v>
      </c>
      <c r="G232" s="41"/>
      <c r="H232" s="11">
        <v>10</v>
      </c>
      <c r="I232" s="41"/>
      <c r="J232" s="11">
        <v>10</v>
      </c>
      <c r="K232" s="41"/>
      <c r="L232" s="11">
        <v>10</v>
      </c>
      <c r="M232" s="41"/>
      <c r="N232" s="11">
        <v>10</v>
      </c>
      <c r="O232" s="41"/>
      <c r="P232" s="11">
        <v>10</v>
      </c>
      <c r="Q232" s="41"/>
      <c r="R232" s="11">
        <v>10</v>
      </c>
      <c r="S232" s="41"/>
    </row>
    <row r="233" spans="1:19">
      <c r="A233" s="39"/>
      <c r="B233" s="9" t="s">
        <v>101</v>
      </c>
      <c r="C233" s="10" t="s">
        <v>43</v>
      </c>
      <c r="D233" s="39"/>
      <c r="E233" s="39"/>
      <c r="F233" s="11">
        <v>10</v>
      </c>
      <c r="G233" s="41"/>
      <c r="H233" s="11">
        <v>10</v>
      </c>
      <c r="I233" s="41"/>
      <c r="J233" s="11">
        <v>10</v>
      </c>
      <c r="K233" s="41"/>
      <c r="L233" s="11">
        <v>10</v>
      </c>
      <c r="M233" s="41"/>
      <c r="N233" s="11">
        <v>10</v>
      </c>
      <c r="O233" s="41"/>
      <c r="P233" s="11">
        <v>10</v>
      </c>
      <c r="Q233" s="41"/>
      <c r="R233" s="11">
        <v>10</v>
      </c>
      <c r="S233" s="41"/>
    </row>
    <row r="234" spans="1:19">
      <c r="A234" s="39"/>
      <c r="B234" s="9" t="s">
        <v>102</v>
      </c>
      <c r="C234" s="10" t="s">
        <v>44</v>
      </c>
      <c r="D234" s="39"/>
      <c r="E234" s="39"/>
      <c r="F234" s="11">
        <v>10</v>
      </c>
      <c r="G234" s="41"/>
      <c r="H234" s="11">
        <v>10</v>
      </c>
      <c r="I234" s="41"/>
      <c r="J234" s="11">
        <v>10</v>
      </c>
      <c r="K234" s="41"/>
      <c r="L234" s="11">
        <v>10</v>
      </c>
      <c r="M234" s="41"/>
      <c r="N234" s="11">
        <v>10</v>
      </c>
      <c r="O234" s="41"/>
      <c r="P234" s="11">
        <v>10</v>
      </c>
      <c r="Q234" s="41"/>
      <c r="R234" s="11">
        <v>10</v>
      </c>
      <c r="S234" s="41"/>
    </row>
    <row r="235" spans="1:19">
      <c r="A235" s="39"/>
      <c r="B235" s="9" t="s">
        <v>103</v>
      </c>
      <c r="C235" s="10" t="s">
        <v>45</v>
      </c>
      <c r="D235" s="39"/>
      <c r="E235" s="39"/>
      <c r="F235" s="11">
        <v>5</v>
      </c>
      <c r="G235" s="41"/>
      <c r="H235" s="11">
        <v>8</v>
      </c>
      <c r="I235" s="41"/>
      <c r="J235" s="11">
        <v>6</v>
      </c>
      <c r="K235" s="41"/>
      <c r="L235" s="11">
        <v>4</v>
      </c>
      <c r="M235" s="41"/>
      <c r="N235" s="11">
        <v>7</v>
      </c>
      <c r="O235" s="41"/>
      <c r="P235" s="11">
        <v>4</v>
      </c>
      <c r="Q235" s="41"/>
      <c r="R235" s="11">
        <v>4</v>
      </c>
      <c r="S235" s="41"/>
    </row>
    <row r="236" spans="1:19">
      <c r="A236" s="35" t="s">
        <v>5</v>
      </c>
      <c r="B236" s="2" t="s">
        <v>95</v>
      </c>
      <c r="C236" s="3" t="s">
        <v>4</v>
      </c>
      <c r="D236" s="35" t="s">
        <v>34</v>
      </c>
      <c r="E236" s="35" t="s">
        <v>37</v>
      </c>
      <c r="F236" s="4">
        <v>9</v>
      </c>
      <c r="G236" s="32">
        <v>8.4444444444444446</v>
      </c>
      <c r="H236" s="4">
        <v>9</v>
      </c>
      <c r="I236" s="32">
        <v>9</v>
      </c>
      <c r="J236" s="4">
        <v>9</v>
      </c>
      <c r="K236" s="32">
        <v>8.7777777777777786</v>
      </c>
      <c r="L236" s="4">
        <v>9</v>
      </c>
      <c r="M236" s="32">
        <v>8.7777777777777786</v>
      </c>
      <c r="N236" s="4">
        <v>9</v>
      </c>
      <c r="O236" s="32">
        <v>9.1111111111111107</v>
      </c>
      <c r="P236" s="4">
        <v>10</v>
      </c>
      <c r="Q236" s="32">
        <f t="shared" ref="Q236" si="50">SUM(P236:P244)/9</f>
        <v>8.4444444444444446</v>
      </c>
      <c r="R236" s="4">
        <v>10</v>
      </c>
      <c r="S236" s="32">
        <f t="shared" ref="S236" si="51">SUM(R236:R244)/9</f>
        <v>8.7777777777777786</v>
      </c>
    </row>
    <row r="237" spans="1:19">
      <c r="A237" s="36"/>
      <c r="B237" s="2" t="s">
        <v>96</v>
      </c>
      <c r="C237" s="3" t="s">
        <v>38</v>
      </c>
      <c r="D237" s="36"/>
      <c r="E237" s="36"/>
      <c r="F237" s="4">
        <v>10</v>
      </c>
      <c r="G237" s="33"/>
      <c r="H237" s="4">
        <v>10</v>
      </c>
      <c r="I237" s="33"/>
      <c r="J237" s="4">
        <v>10</v>
      </c>
      <c r="K237" s="33"/>
      <c r="L237" s="4">
        <v>10</v>
      </c>
      <c r="M237" s="33"/>
      <c r="N237" s="4">
        <v>10</v>
      </c>
      <c r="O237" s="33"/>
      <c r="P237" s="4">
        <v>10</v>
      </c>
      <c r="Q237" s="33"/>
      <c r="R237" s="4">
        <v>10</v>
      </c>
      <c r="S237" s="33"/>
    </row>
    <row r="238" spans="1:19">
      <c r="A238" s="36"/>
      <c r="B238" s="2" t="s">
        <v>97</v>
      </c>
      <c r="C238" s="3" t="s">
        <v>39</v>
      </c>
      <c r="D238" s="36"/>
      <c r="E238" s="36"/>
      <c r="F238" s="4">
        <v>8</v>
      </c>
      <c r="G238" s="33"/>
      <c r="H238" s="4">
        <v>9</v>
      </c>
      <c r="I238" s="33"/>
      <c r="J238" s="4">
        <v>9</v>
      </c>
      <c r="K238" s="33"/>
      <c r="L238" s="4">
        <v>9</v>
      </c>
      <c r="M238" s="33"/>
      <c r="N238" s="4">
        <v>9</v>
      </c>
      <c r="O238" s="33"/>
      <c r="P238" s="4">
        <v>8</v>
      </c>
      <c r="Q238" s="33"/>
      <c r="R238" s="4">
        <v>10</v>
      </c>
      <c r="S238" s="33"/>
    </row>
    <row r="239" spans="1:19">
      <c r="A239" s="36"/>
      <c r="B239" s="2" t="s">
        <v>98</v>
      </c>
      <c r="C239" s="3" t="s">
        <v>40</v>
      </c>
      <c r="D239" s="36"/>
      <c r="E239" s="36"/>
      <c r="F239" s="4">
        <v>10</v>
      </c>
      <c r="G239" s="33"/>
      <c r="H239" s="4">
        <v>10</v>
      </c>
      <c r="I239" s="33"/>
      <c r="J239" s="4">
        <v>10</v>
      </c>
      <c r="K239" s="33"/>
      <c r="L239" s="4">
        <v>10</v>
      </c>
      <c r="M239" s="33"/>
      <c r="N239" s="4">
        <v>10</v>
      </c>
      <c r="O239" s="33"/>
      <c r="P239" s="4">
        <v>9</v>
      </c>
      <c r="Q239" s="33"/>
      <c r="R239" s="4">
        <v>10</v>
      </c>
      <c r="S239" s="33"/>
    </row>
    <row r="240" spans="1:19">
      <c r="A240" s="36"/>
      <c r="B240" s="2" t="s">
        <v>99</v>
      </c>
      <c r="C240" s="3" t="s">
        <v>41</v>
      </c>
      <c r="D240" s="36"/>
      <c r="E240" s="36"/>
      <c r="F240" s="4">
        <v>7</v>
      </c>
      <c r="G240" s="33"/>
      <c r="H240" s="4">
        <v>7</v>
      </c>
      <c r="I240" s="33"/>
      <c r="J240" s="4">
        <v>7</v>
      </c>
      <c r="K240" s="33"/>
      <c r="L240" s="4">
        <v>7</v>
      </c>
      <c r="M240" s="33"/>
      <c r="N240" s="4">
        <v>7</v>
      </c>
      <c r="O240" s="33"/>
      <c r="P240" s="4">
        <v>7</v>
      </c>
      <c r="Q240" s="33"/>
      <c r="R240" s="4">
        <v>7</v>
      </c>
      <c r="S240" s="33"/>
    </row>
    <row r="241" spans="1:19">
      <c r="A241" s="36"/>
      <c r="B241" s="2" t="s">
        <v>100</v>
      </c>
      <c r="C241" s="3" t="s">
        <v>42</v>
      </c>
      <c r="D241" s="36"/>
      <c r="E241" s="36"/>
      <c r="F241" s="4">
        <v>7</v>
      </c>
      <c r="G241" s="33"/>
      <c r="H241" s="4">
        <v>7</v>
      </c>
      <c r="I241" s="33"/>
      <c r="J241" s="4">
        <v>7</v>
      </c>
      <c r="K241" s="33"/>
      <c r="L241" s="4">
        <v>8</v>
      </c>
      <c r="M241" s="33"/>
      <c r="N241" s="4">
        <v>8</v>
      </c>
      <c r="O241" s="33"/>
      <c r="P241" s="4">
        <v>8</v>
      </c>
      <c r="Q241" s="33"/>
      <c r="R241" s="4">
        <v>8</v>
      </c>
      <c r="S241" s="33"/>
    </row>
    <row r="242" spans="1:19">
      <c r="A242" s="36"/>
      <c r="B242" s="2" t="s">
        <v>101</v>
      </c>
      <c r="C242" s="3" t="s">
        <v>43</v>
      </c>
      <c r="D242" s="36"/>
      <c r="E242" s="36"/>
      <c r="F242" s="4">
        <v>9</v>
      </c>
      <c r="G242" s="33"/>
      <c r="H242" s="4">
        <v>9</v>
      </c>
      <c r="I242" s="33"/>
      <c r="J242" s="4">
        <v>9</v>
      </c>
      <c r="K242" s="33"/>
      <c r="L242" s="4">
        <v>9</v>
      </c>
      <c r="M242" s="33"/>
      <c r="N242" s="4">
        <v>9</v>
      </c>
      <c r="O242" s="33"/>
      <c r="P242" s="4">
        <v>9</v>
      </c>
      <c r="Q242" s="33"/>
      <c r="R242" s="4">
        <v>9</v>
      </c>
      <c r="S242" s="33"/>
    </row>
    <row r="243" spans="1:19">
      <c r="A243" s="36"/>
      <c r="B243" s="2" t="s">
        <v>102</v>
      </c>
      <c r="C243" s="3" t="s">
        <v>44</v>
      </c>
      <c r="D243" s="36"/>
      <c r="E243" s="36"/>
      <c r="F243" s="4">
        <v>10</v>
      </c>
      <c r="G243" s="33"/>
      <c r="H243" s="4">
        <v>10</v>
      </c>
      <c r="I243" s="33"/>
      <c r="J243" s="4">
        <v>10</v>
      </c>
      <c r="K243" s="33"/>
      <c r="L243" s="4">
        <v>10</v>
      </c>
      <c r="M243" s="33"/>
      <c r="N243" s="4">
        <v>10</v>
      </c>
      <c r="O243" s="33"/>
      <c r="P243" s="4">
        <v>10</v>
      </c>
      <c r="Q243" s="33"/>
      <c r="R243" s="4">
        <v>10</v>
      </c>
      <c r="S243" s="33"/>
    </row>
    <row r="244" spans="1:19">
      <c r="A244" s="37"/>
      <c r="B244" s="2" t="s">
        <v>103</v>
      </c>
      <c r="C244" s="3" t="s">
        <v>45</v>
      </c>
      <c r="D244" s="37"/>
      <c r="E244" s="37"/>
      <c r="F244" s="4">
        <v>6</v>
      </c>
      <c r="G244" s="34"/>
      <c r="H244" s="4">
        <v>10</v>
      </c>
      <c r="I244" s="34"/>
      <c r="J244" s="4">
        <v>8</v>
      </c>
      <c r="K244" s="34"/>
      <c r="L244" s="4">
        <v>7</v>
      </c>
      <c r="M244" s="34"/>
      <c r="N244" s="4">
        <v>10</v>
      </c>
      <c r="O244" s="34"/>
      <c r="P244" s="4">
        <v>5</v>
      </c>
      <c r="Q244" s="34"/>
      <c r="R244" s="4">
        <v>5</v>
      </c>
      <c r="S244" s="34"/>
    </row>
  </sheetData>
  <autoFilter ref="A1:O244" xr:uid="{3532716E-60EE-48BB-A138-260E93873812}"/>
  <mergeCells count="270">
    <mergeCell ref="S164:S172"/>
    <mergeCell ref="S173:S181"/>
    <mergeCell ref="S182:S190"/>
    <mergeCell ref="S191:S199"/>
    <mergeCell ref="S200:S208"/>
    <mergeCell ref="S209:S217"/>
    <mergeCell ref="S218:S226"/>
    <mergeCell ref="S227:S235"/>
    <mergeCell ref="S236:S244"/>
    <mergeCell ref="S83:S91"/>
    <mergeCell ref="S92:S100"/>
    <mergeCell ref="S101:S109"/>
    <mergeCell ref="S110:S118"/>
    <mergeCell ref="S119:S127"/>
    <mergeCell ref="S128:S136"/>
    <mergeCell ref="S137:S145"/>
    <mergeCell ref="S146:S154"/>
    <mergeCell ref="S155:S163"/>
    <mergeCell ref="S2:S10"/>
    <mergeCell ref="S11:S19"/>
    <mergeCell ref="S20:S28"/>
    <mergeCell ref="S29:S37"/>
    <mergeCell ref="S38:S46"/>
    <mergeCell ref="S47:S55"/>
    <mergeCell ref="S56:S64"/>
    <mergeCell ref="S65:S73"/>
    <mergeCell ref="S74:S82"/>
    <mergeCell ref="Q164:Q172"/>
    <mergeCell ref="Q173:Q181"/>
    <mergeCell ref="Q182:Q190"/>
    <mergeCell ref="Q191:Q199"/>
    <mergeCell ref="Q200:Q208"/>
    <mergeCell ref="Q209:Q217"/>
    <mergeCell ref="Q218:Q226"/>
    <mergeCell ref="Q227:Q235"/>
    <mergeCell ref="Q236:Q244"/>
    <mergeCell ref="Q83:Q91"/>
    <mergeCell ref="Q92:Q100"/>
    <mergeCell ref="Q101:Q109"/>
    <mergeCell ref="Q110:Q118"/>
    <mergeCell ref="Q119:Q127"/>
    <mergeCell ref="Q128:Q136"/>
    <mergeCell ref="Q137:Q145"/>
    <mergeCell ref="Q146:Q154"/>
    <mergeCell ref="Q155:Q163"/>
    <mergeCell ref="Q2:Q10"/>
    <mergeCell ref="Q11:Q19"/>
    <mergeCell ref="Q20:Q28"/>
    <mergeCell ref="Q29:Q37"/>
    <mergeCell ref="Q38:Q46"/>
    <mergeCell ref="Q47:Q55"/>
    <mergeCell ref="Q56:Q64"/>
    <mergeCell ref="Q65:Q73"/>
    <mergeCell ref="Q74:Q82"/>
    <mergeCell ref="M2:M10"/>
    <mergeCell ref="O2:O10"/>
    <mergeCell ref="A11:A19"/>
    <mergeCell ref="D11:D19"/>
    <mergeCell ref="E11:E19"/>
    <mergeCell ref="G11:G19"/>
    <mergeCell ref="I11:I19"/>
    <mergeCell ref="K11:K19"/>
    <mergeCell ref="M11:M19"/>
    <mergeCell ref="O11:O19"/>
    <mergeCell ref="A2:A10"/>
    <mergeCell ref="D2:D10"/>
    <mergeCell ref="E2:E10"/>
    <mergeCell ref="G2:G10"/>
    <mergeCell ref="I2:I10"/>
    <mergeCell ref="K2:K10"/>
    <mergeCell ref="M20:M28"/>
    <mergeCell ref="O20:O28"/>
    <mergeCell ref="A29:A37"/>
    <mergeCell ref="D29:D37"/>
    <mergeCell ref="E29:E37"/>
    <mergeCell ref="G29:G37"/>
    <mergeCell ref="I29:I37"/>
    <mergeCell ref="K29:K37"/>
    <mergeCell ref="M29:M37"/>
    <mergeCell ref="O29:O37"/>
    <mergeCell ref="A20:A28"/>
    <mergeCell ref="D20:D28"/>
    <mergeCell ref="E20:E28"/>
    <mergeCell ref="G20:G28"/>
    <mergeCell ref="I20:I28"/>
    <mergeCell ref="K20:K28"/>
    <mergeCell ref="M38:M46"/>
    <mergeCell ref="O38:O46"/>
    <mergeCell ref="A47:A55"/>
    <mergeCell ref="D47:D55"/>
    <mergeCell ref="E47:E55"/>
    <mergeCell ref="G47:G55"/>
    <mergeCell ref="I47:I55"/>
    <mergeCell ref="K47:K55"/>
    <mergeCell ref="M47:M55"/>
    <mergeCell ref="O47:O55"/>
    <mergeCell ref="A38:A46"/>
    <mergeCell ref="D38:D46"/>
    <mergeCell ref="E38:E46"/>
    <mergeCell ref="G38:G46"/>
    <mergeCell ref="I38:I46"/>
    <mergeCell ref="K38:K46"/>
    <mergeCell ref="M56:M64"/>
    <mergeCell ref="O56:O64"/>
    <mergeCell ref="A65:A73"/>
    <mergeCell ref="D65:D73"/>
    <mergeCell ref="E65:E73"/>
    <mergeCell ref="G65:G73"/>
    <mergeCell ref="I65:I73"/>
    <mergeCell ref="K65:K73"/>
    <mergeCell ref="M65:M73"/>
    <mergeCell ref="O65:O73"/>
    <mergeCell ref="A56:A64"/>
    <mergeCell ref="D56:D64"/>
    <mergeCell ref="E56:E64"/>
    <mergeCell ref="G56:G64"/>
    <mergeCell ref="I56:I64"/>
    <mergeCell ref="K56:K64"/>
    <mergeCell ref="M74:M82"/>
    <mergeCell ref="O74:O82"/>
    <mergeCell ref="A83:A91"/>
    <mergeCell ref="D83:D91"/>
    <mergeCell ref="E83:E91"/>
    <mergeCell ref="G83:G91"/>
    <mergeCell ref="I83:I91"/>
    <mergeCell ref="K83:K91"/>
    <mergeCell ref="M83:M91"/>
    <mergeCell ref="O83:O91"/>
    <mergeCell ref="A74:A82"/>
    <mergeCell ref="D74:D82"/>
    <mergeCell ref="E74:E82"/>
    <mergeCell ref="G74:G82"/>
    <mergeCell ref="I74:I82"/>
    <mergeCell ref="K74:K82"/>
    <mergeCell ref="M92:M100"/>
    <mergeCell ref="O92:O100"/>
    <mergeCell ref="A101:A109"/>
    <mergeCell ref="D101:D109"/>
    <mergeCell ref="E101:E109"/>
    <mergeCell ref="G101:G109"/>
    <mergeCell ref="I101:I109"/>
    <mergeCell ref="K101:K109"/>
    <mergeCell ref="M101:M109"/>
    <mergeCell ref="O101:O109"/>
    <mergeCell ref="A92:A100"/>
    <mergeCell ref="D92:D100"/>
    <mergeCell ref="E92:E100"/>
    <mergeCell ref="G92:G100"/>
    <mergeCell ref="I92:I100"/>
    <mergeCell ref="K92:K100"/>
    <mergeCell ref="M110:M118"/>
    <mergeCell ref="O110:O118"/>
    <mergeCell ref="A119:A127"/>
    <mergeCell ref="D119:D127"/>
    <mergeCell ref="E119:E127"/>
    <mergeCell ref="G119:G127"/>
    <mergeCell ref="I119:I127"/>
    <mergeCell ref="K119:K127"/>
    <mergeCell ref="M119:M127"/>
    <mergeCell ref="O119:O127"/>
    <mergeCell ref="A110:A118"/>
    <mergeCell ref="D110:D118"/>
    <mergeCell ref="E110:E118"/>
    <mergeCell ref="G110:G118"/>
    <mergeCell ref="I110:I118"/>
    <mergeCell ref="K110:K118"/>
    <mergeCell ref="M128:M136"/>
    <mergeCell ref="O128:O136"/>
    <mergeCell ref="A137:A145"/>
    <mergeCell ref="D137:D145"/>
    <mergeCell ref="E137:E145"/>
    <mergeCell ref="G137:G145"/>
    <mergeCell ref="I137:I145"/>
    <mergeCell ref="K137:K145"/>
    <mergeCell ref="M137:M145"/>
    <mergeCell ref="O137:O145"/>
    <mergeCell ref="A128:A136"/>
    <mergeCell ref="D128:D136"/>
    <mergeCell ref="E128:E136"/>
    <mergeCell ref="G128:G136"/>
    <mergeCell ref="I128:I136"/>
    <mergeCell ref="K128:K136"/>
    <mergeCell ref="M146:M154"/>
    <mergeCell ref="O146:O154"/>
    <mergeCell ref="A155:A163"/>
    <mergeCell ref="D155:D163"/>
    <mergeCell ref="E155:E163"/>
    <mergeCell ref="G155:G163"/>
    <mergeCell ref="I155:I163"/>
    <mergeCell ref="K155:K163"/>
    <mergeCell ref="M155:M163"/>
    <mergeCell ref="O155:O163"/>
    <mergeCell ref="A146:A154"/>
    <mergeCell ref="D146:D154"/>
    <mergeCell ref="E146:E154"/>
    <mergeCell ref="G146:G154"/>
    <mergeCell ref="I146:I154"/>
    <mergeCell ref="K146:K154"/>
    <mergeCell ref="M164:M172"/>
    <mergeCell ref="O164:O172"/>
    <mergeCell ref="A173:A181"/>
    <mergeCell ref="D173:D181"/>
    <mergeCell ref="E173:E181"/>
    <mergeCell ref="G173:G181"/>
    <mergeCell ref="I173:I181"/>
    <mergeCell ref="K173:K181"/>
    <mergeCell ref="M173:M181"/>
    <mergeCell ref="O173:O181"/>
    <mergeCell ref="A164:A172"/>
    <mergeCell ref="D164:D172"/>
    <mergeCell ref="E164:E172"/>
    <mergeCell ref="G164:G172"/>
    <mergeCell ref="I164:I172"/>
    <mergeCell ref="K164:K172"/>
    <mergeCell ref="M182:M190"/>
    <mergeCell ref="O182:O190"/>
    <mergeCell ref="A191:A199"/>
    <mergeCell ref="D191:D199"/>
    <mergeCell ref="E191:E199"/>
    <mergeCell ref="G191:G199"/>
    <mergeCell ref="I191:I199"/>
    <mergeCell ref="K191:K199"/>
    <mergeCell ref="M191:M199"/>
    <mergeCell ref="O191:O199"/>
    <mergeCell ref="A182:A190"/>
    <mergeCell ref="D182:D190"/>
    <mergeCell ref="E182:E190"/>
    <mergeCell ref="G182:G190"/>
    <mergeCell ref="I182:I190"/>
    <mergeCell ref="K182:K190"/>
    <mergeCell ref="M200:M208"/>
    <mergeCell ref="O200:O208"/>
    <mergeCell ref="A209:A217"/>
    <mergeCell ref="D209:D217"/>
    <mergeCell ref="E209:E217"/>
    <mergeCell ref="G209:G217"/>
    <mergeCell ref="I209:I217"/>
    <mergeCell ref="K209:K217"/>
    <mergeCell ref="M209:M217"/>
    <mergeCell ref="O209:O217"/>
    <mergeCell ref="A200:A208"/>
    <mergeCell ref="D200:D208"/>
    <mergeCell ref="E200:E208"/>
    <mergeCell ref="G200:G208"/>
    <mergeCell ref="I200:I208"/>
    <mergeCell ref="K200:K208"/>
    <mergeCell ref="M236:M244"/>
    <mergeCell ref="O236:O244"/>
    <mergeCell ref="A236:A244"/>
    <mergeCell ref="D236:D244"/>
    <mergeCell ref="E236:E244"/>
    <mergeCell ref="G236:G244"/>
    <mergeCell ref="I236:I244"/>
    <mergeCell ref="K236:K244"/>
    <mergeCell ref="M218:M226"/>
    <mergeCell ref="O218:O226"/>
    <mergeCell ref="A227:A235"/>
    <mergeCell ref="D227:D235"/>
    <mergeCell ref="E227:E235"/>
    <mergeCell ref="G227:G235"/>
    <mergeCell ref="I227:I235"/>
    <mergeCell ref="K227:K235"/>
    <mergeCell ref="M227:M235"/>
    <mergeCell ref="O227:O235"/>
    <mergeCell ref="A218:A226"/>
    <mergeCell ref="D218:D226"/>
    <mergeCell ref="E218:E226"/>
    <mergeCell ref="G218:G226"/>
    <mergeCell ref="I218:I226"/>
    <mergeCell ref="K218:K22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E6B7E-3567-4FA6-9AD4-1EA4D419A294}">
  <dimension ref="A1:S244"/>
  <sheetViews>
    <sheetView zoomScale="90" zoomScaleNormal="90" workbookViewId="0">
      <selection activeCell="Q2" sqref="Q2:Q10"/>
    </sheetView>
  </sheetViews>
  <sheetFormatPr defaultColWidth="8.85546875" defaultRowHeight="12.75"/>
  <cols>
    <col min="1" max="1" width="16.7109375" style="1" bestFit="1" customWidth="1"/>
    <col min="2" max="2" width="7.28515625" style="1" bestFit="1" customWidth="1"/>
    <col min="3" max="3" width="47.28515625" style="1" bestFit="1" customWidth="1"/>
    <col min="4" max="4" width="11.140625" style="1" bestFit="1" customWidth="1"/>
    <col min="5" max="5" width="10.28515625" style="1" bestFit="1" customWidth="1"/>
    <col min="6" max="6" width="13" style="13" customWidth="1"/>
    <col min="7" max="7" width="13" style="28" customWidth="1"/>
    <col min="8" max="8" width="13" style="13" customWidth="1"/>
    <col min="9" max="9" width="13" style="29" customWidth="1"/>
    <col min="10" max="10" width="13" style="13" customWidth="1"/>
    <col min="11" max="11" width="13" style="29" customWidth="1"/>
    <col min="12" max="12" width="13" style="13" customWidth="1"/>
    <col min="13" max="13" width="13" style="29" customWidth="1"/>
    <col min="14" max="14" width="13" style="13" customWidth="1"/>
    <col min="15" max="15" width="13.28515625" style="29" customWidth="1"/>
    <col min="16" max="16" width="13" style="13" customWidth="1"/>
    <col min="17" max="17" width="13.28515625" style="29" customWidth="1"/>
    <col min="18" max="18" width="13" style="13" customWidth="1"/>
    <col min="19" max="19" width="13.28515625" style="29" customWidth="1"/>
    <col min="20" max="16384" width="8.85546875" style="1"/>
  </cols>
  <sheetData>
    <row r="1" spans="1:19">
      <c r="A1" s="5" t="s">
        <v>0</v>
      </c>
      <c r="B1" s="5" t="s">
        <v>1</v>
      </c>
      <c r="C1" s="5" t="s">
        <v>2</v>
      </c>
      <c r="D1" s="5" t="s">
        <v>6</v>
      </c>
      <c r="E1" s="5" t="s">
        <v>3</v>
      </c>
      <c r="F1" s="14" t="s">
        <v>46</v>
      </c>
      <c r="G1" s="27" t="s">
        <v>68</v>
      </c>
      <c r="H1" s="14" t="s">
        <v>47</v>
      </c>
      <c r="I1" s="27" t="s">
        <v>69</v>
      </c>
      <c r="J1" s="14" t="s">
        <v>48</v>
      </c>
      <c r="K1" s="27" t="s">
        <v>70</v>
      </c>
      <c r="L1" s="14" t="s">
        <v>49</v>
      </c>
      <c r="M1" s="27" t="s">
        <v>71</v>
      </c>
      <c r="N1" s="14" t="s">
        <v>50</v>
      </c>
      <c r="O1" s="27" t="s">
        <v>72</v>
      </c>
      <c r="P1" s="14" t="s">
        <v>126</v>
      </c>
      <c r="Q1" s="27" t="s">
        <v>125</v>
      </c>
      <c r="R1" s="14" t="s">
        <v>127</v>
      </c>
      <c r="S1" s="27" t="s">
        <v>128</v>
      </c>
    </row>
    <row r="2" spans="1:19">
      <c r="A2" s="35" t="s">
        <v>51</v>
      </c>
      <c r="B2" s="2" t="s">
        <v>52</v>
      </c>
      <c r="C2" s="3" t="s">
        <v>53</v>
      </c>
      <c r="D2" s="35" t="s">
        <v>7</v>
      </c>
      <c r="E2" s="35" t="s">
        <v>8</v>
      </c>
      <c r="F2" s="15">
        <v>2</v>
      </c>
      <c r="G2" s="32">
        <v>2.4444444444444446</v>
      </c>
      <c r="H2" s="15">
        <v>2</v>
      </c>
      <c r="I2" s="45">
        <v>2.4444444444444446</v>
      </c>
      <c r="J2" s="15">
        <v>2</v>
      </c>
      <c r="K2" s="45">
        <v>2.5555555555555554</v>
      </c>
      <c r="L2" s="15">
        <v>2</v>
      </c>
      <c r="M2" s="45">
        <v>2.3333333333333335</v>
      </c>
      <c r="N2" s="15">
        <v>2</v>
      </c>
      <c r="O2" s="45">
        <v>1.7777777777777777</v>
      </c>
      <c r="P2" s="15">
        <v>2</v>
      </c>
      <c r="Q2" s="45">
        <f>SUM(P2:P10)/9</f>
        <v>2</v>
      </c>
      <c r="R2" s="15">
        <v>2</v>
      </c>
      <c r="S2" s="45">
        <f xml:space="preserve"> SUM(R2:R10)/9</f>
        <v>1.8888888888888888</v>
      </c>
    </row>
    <row r="3" spans="1:19">
      <c r="A3" s="36"/>
      <c r="B3" s="2" t="s">
        <v>54</v>
      </c>
      <c r="C3" s="3" t="s">
        <v>55</v>
      </c>
      <c r="D3" s="36"/>
      <c r="E3" s="36"/>
      <c r="F3" s="15">
        <v>6</v>
      </c>
      <c r="G3" s="33"/>
      <c r="H3" s="15">
        <v>5</v>
      </c>
      <c r="I3" s="46"/>
      <c r="J3" s="15">
        <v>6</v>
      </c>
      <c r="K3" s="46"/>
      <c r="L3" s="15">
        <v>4</v>
      </c>
      <c r="M3" s="46"/>
      <c r="N3" s="15">
        <v>1</v>
      </c>
      <c r="O3" s="46"/>
      <c r="P3" s="15">
        <v>4</v>
      </c>
      <c r="Q3" s="46"/>
      <c r="R3" s="15">
        <v>3</v>
      </c>
      <c r="S3" s="46"/>
    </row>
    <row r="4" spans="1:19">
      <c r="A4" s="36"/>
      <c r="B4" s="2" t="s">
        <v>56</v>
      </c>
      <c r="C4" s="3" t="s">
        <v>57</v>
      </c>
      <c r="D4" s="36"/>
      <c r="E4" s="36"/>
      <c r="F4" s="15">
        <v>1</v>
      </c>
      <c r="G4" s="33"/>
      <c r="H4" s="15">
        <v>2</v>
      </c>
      <c r="I4" s="46"/>
      <c r="J4" s="15">
        <v>2</v>
      </c>
      <c r="K4" s="46"/>
      <c r="L4" s="15">
        <v>2</v>
      </c>
      <c r="M4" s="46"/>
      <c r="N4" s="15">
        <v>2</v>
      </c>
      <c r="O4" s="46"/>
      <c r="P4" s="15">
        <v>2</v>
      </c>
      <c r="Q4" s="46"/>
      <c r="R4" s="15">
        <v>2</v>
      </c>
      <c r="S4" s="46"/>
    </row>
    <row r="5" spans="1:19">
      <c r="A5" s="36"/>
      <c r="B5" s="2" t="s">
        <v>58</v>
      </c>
      <c r="C5" s="3" t="s">
        <v>59</v>
      </c>
      <c r="D5" s="36"/>
      <c r="E5" s="36"/>
      <c r="F5" s="15">
        <v>2</v>
      </c>
      <c r="G5" s="33"/>
      <c r="H5" s="15">
        <v>2</v>
      </c>
      <c r="I5" s="46"/>
      <c r="J5" s="15">
        <v>2</v>
      </c>
      <c r="K5" s="46"/>
      <c r="L5" s="15">
        <v>2</v>
      </c>
      <c r="M5" s="46"/>
      <c r="N5" s="15">
        <v>1</v>
      </c>
      <c r="O5" s="46"/>
      <c r="P5" s="15">
        <v>1</v>
      </c>
      <c r="Q5" s="46"/>
      <c r="R5" s="15">
        <v>1</v>
      </c>
      <c r="S5" s="46"/>
    </row>
    <row r="6" spans="1:19">
      <c r="A6" s="36"/>
      <c r="B6" s="2" t="s">
        <v>60</v>
      </c>
      <c r="C6" s="3" t="s">
        <v>94</v>
      </c>
      <c r="D6" s="36"/>
      <c r="E6" s="36"/>
      <c r="F6" s="15">
        <v>1</v>
      </c>
      <c r="G6" s="33"/>
      <c r="H6" s="15">
        <v>1</v>
      </c>
      <c r="I6" s="46"/>
      <c r="J6" s="15">
        <v>1</v>
      </c>
      <c r="K6" s="46"/>
      <c r="L6" s="15">
        <v>1</v>
      </c>
      <c r="M6" s="46"/>
      <c r="N6" s="15">
        <v>1</v>
      </c>
      <c r="O6" s="46"/>
      <c r="P6" s="15">
        <v>1</v>
      </c>
      <c r="Q6" s="46"/>
      <c r="R6" s="15">
        <v>1</v>
      </c>
      <c r="S6" s="46"/>
    </row>
    <row r="7" spans="1:19">
      <c r="A7" s="36"/>
      <c r="B7" s="2" t="s">
        <v>61</v>
      </c>
      <c r="C7" s="3" t="s">
        <v>93</v>
      </c>
      <c r="D7" s="36"/>
      <c r="E7" s="36"/>
      <c r="F7" s="15">
        <v>1</v>
      </c>
      <c r="G7" s="33"/>
      <c r="H7" s="15">
        <v>1</v>
      </c>
      <c r="I7" s="46"/>
      <c r="J7" s="15">
        <v>1</v>
      </c>
      <c r="K7" s="46"/>
      <c r="L7" s="15">
        <v>1</v>
      </c>
      <c r="M7" s="46"/>
      <c r="N7" s="15">
        <v>1</v>
      </c>
      <c r="O7" s="46"/>
      <c r="P7" s="15">
        <v>1</v>
      </c>
      <c r="Q7" s="46"/>
      <c r="R7" s="15">
        <v>1</v>
      </c>
      <c r="S7" s="46"/>
    </row>
    <row r="8" spans="1:19">
      <c r="A8" s="36"/>
      <c r="B8" s="2" t="s">
        <v>62</v>
      </c>
      <c r="C8" s="3" t="s">
        <v>65</v>
      </c>
      <c r="D8" s="36"/>
      <c r="E8" s="36"/>
      <c r="F8" s="15">
        <v>2</v>
      </c>
      <c r="G8" s="33"/>
      <c r="H8" s="15">
        <v>2</v>
      </c>
      <c r="I8" s="46"/>
      <c r="J8" s="15">
        <v>2</v>
      </c>
      <c r="K8" s="46"/>
      <c r="L8" s="15">
        <v>2</v>
      </c>
      <c r="M8" s="46"/>
      <c r="N8" s="15">
        <v>2</v>
      </c>
      <c r="O8" s="46"/>
      <c r="P8" s="15">
        <v>2</v>
      </c>
      <c r="Q8" s="46"/>
      <c r="R8" s="15">
        <v>2</v>
      </c>
      <c r="S8" s="46"/>
    </row>
    <row r="9" spans="1:19">
      <c r="A9" s="36"/>
      <c r="B9" s="2" t="s">
        <v>63</v>
      </c>
      <c r="C9" s="3" t="s">
        <v>66</v>
      </c>
      <c r="D9" s="36"/>
      <c r="E9" s="36"/>
      <c r="F9" s="15">
        <v>5</v>
      </c>
      <c r="G9" s="33"/>
      <c r="H9" s="15">
        <v>5</v>
      </c>
      <c r="I9" s="46"/>
      <c r="J9" s="15">
        <v>5</v>
      </c>
      <c r="K9" s="46"/>
      <c r="L9" s="15">
        <v>5</v>
      </c>
      <c r="M9" s="46"/>
      <c r="N9" s="15">
        <v>4</v>
      </c>
      <c r="O9" s="46"/>
      <c r="P9" s="15">
        <v>3</v>
      </c>
      <c r="Q9" s="46"/>
      <c r="R9" s="15">
        <v>3</v>
      </c>
      <c r="S9" s="46"/>
    </row>
    <row r="10" spans="1:19">
      <c r="A10" s="36"/>
      <c r="B10" s="2" t="s">
        <v>64</v>
      </c>
      <c r="C10" s="7" t="s">
        <v>67</v>
      </c>
      <c r="D10" s="36"/>
      <c r="E10" s="36"/>
      <c r="F10" s="15">
        <v>2</v>
      </c>
      <c r="G10" s="33"/>
      <c r="H10" s="15">
        <v>2</v>
      </c>
      <c r="I10" s="46"/>
      <c r="J10" s="15">
        <v>2</v>
      </c>
      <c r="K10" s="46"/>
      <c r="L10" s="15">
        <v>2</v>
      </c>
      <c r="M10" s="46"/>
      <c r="N10" s="15">
        <v>2</v>
      </c>
      <c r="O10" s="46"/>
      <c r="P10" s="15">
        <v>2</v>
      </c>
      <c r="Q10" s="46"/>
      <c r="R10" s="15">
        <v>2</v>
      </c>
      <c r="S10" s="46"/>
    </row>
    <row r="11" spans="1:19">
      <c r="A11" s="38" t="s">
        <v>51</v>
      </c>
      <c r="B11" s="9" t="s">
        <v>52</v>
      </c>
      <c r="C11" s="10" t="s">
        <v>53</v>
      </c>
      <c r="D11" s="38" t="s">
        <v>7</v>
      </c>
      <c r="E11" s="38" t="s">
        <v>9</v>
      </c>
      <c r="F11" s="16">
        <v>2</v>
      </c>
      <c r="G11" s="43">
        <v>3.7777777777777777</v>
      </c>
      <c r="H11" s="16">
        <v>1</v>
      </c>
      <c r="I11" s="43">
        <v>3.8888888888888888</v>
      </c>
      <c r="J11" s="16">
        <v>1</v>
      </c>
      <c r="K11" s="43">
        <v>4</v>
      </c>
      <c r="L11" s="16">
        <v>1</v>
      </c>
      <c r="M11" s="43">
        <v>3.8888888888888888</v>
      </c>
      <c r="N11" s="16">
        <v>2</v>
      </c>
      <c r="O11" s="43">
        <v>4.4444444444444446</v>
      </c>
      <c r="P11" s="16">
        <v>2</v>
      </c>
      <c r="Q11" s="45">
        <f t="shared" ref="Q11" si="0">SUM(P11:P19)/9</f>
        <v>4.2222222222222223</v>
      </c>
      <c r="R11" s="16">
        <v>2</v>
      </c>
      <c r="S11" s="45">
        <f t="shared" ref="S11" si="1" xml:space="preserve"> SUM(R11:R19)/9</f>
        <v>4.1111111111111107</v>
      </c>
    </row>
    <row r="12" spans="1:19">
      <c r="A12" s="39"/>
      <c r="B12" s="9" t="s">
        <v>54</v>
      </c>
      <c r="C12" s="10" t="s">
        <v>55</v>
      </c>
      <c r="D12" s="39"/>
      <c r="E12" s="39"/>
      <c r="F12" s="16">
        <v>1</v>
      </c>
      <c r="G12" s="44"/>
      <c r="H12" s="16">
        <v>1</v>
      </c>
      <c r="I12" s="44"/>
      <c r="J12" s="16">
        <v>1</v>
      </c>
      <c r="K12" s="44"/>
      <c r="L12" s="16">
        <v>1</v>
      </c>
      <c r="M12" s="44"/>
      <c r="N12" s="16">
        <v>2</v>
      </c>
      <c r="O12" s="44"/>
      <c r="P12" s="16">
        <v>1</v>
      </c>
      <c r="Q12" s="46"/>
      <c r="R12" s="16">
        <v>1</v>
      </c>
      <c r="S12" s="46"/>
    </row>
    <row r="13" spans="1:19">
      <c r="A13" s="39"/>
      <c r="B13" s="9" t="s">
        <v>56</v>
      </c>
      <c r="C13" s="10" t="s">
        <v>57</v>
      </c>
      <c r="D13" s="39"/>
      <c r="E13" s="39"/>
      <c r="F13" s="16">
        <v>2</v>
      </c>
      <c r="G13" s="44"/>
      <c r="H13" s="16">
        <v>2</v>
      </c>
      <c r="I13" s="44"/>
      <c r="J13" s="16">
        <v>2</v>
      </c>
      <c r="K13" s="44"/>
      <c r="L13" s="16">
        <v>2</v>
      </c>
      <c r="M13" s="44"/>
      <c r="N13" s="16">
        <v>5</v>
      </c>
      <c r="O13" s="44"/>
      <c r="P13" s="16">
        <v>3</v>
      </c>
      <c r="Q13" s="46"/>
      <c r="R13" s="16">
        <v>3</v>
      </c>
      <c r="S13" s="46"/>
    </row>
    <row r="14" spans="1:19">
      <c r="A14" s="39"/>
      <c r="B14" s="9" t="s">
        <v>58</v>
      </c>
      <c r="C14" s="10" t="s">
        <v>59</v>
      </c>
      <c r="D14" s="39"/>
      <c r="E14" s="39"/>
      <c r="F14" s="16">
        <v>10</v>
      </c>
      <c r="G14" s="44"/>
      <c r="H14" s="16">
        <v>10</v>
      </c>
      <c r="I14" s="44"/>
      <c r="J14" s="16">
        <v>10</v>
      </c>
      <c r="K14" s="44"/>
      <c r="L14" s="16">
        <v>10</v>
      </c>
      <c r="M14" s="44"/>
      <c r="N14" s="16">
        <v>10</v>
      </c>
      <c r="O14" s="44"/>
      <c r="P14" s="16">
        <v>10</v>
      </c>
      <c r="Q14" s="46"/>
      <c r="R14" s="16">
        <v>10</v>
      </c>
      <c r="S14" s="46"/>
    </row>
    <row r="15" spans="1:19">
      <c r="A15" s="39"/>
      <c r="B15" s="9" t="s">
        <v>60</v>
      </c>
      <c r="C15" s="10" t="s">
        <v>94</v>
      </c>
      <c r="D15" s="39"/>
      <c r="E15" s="39"/>
      <c r="F15" s="16">
        <v>1</v>
      </c>
      <c r="G15" s="44"/>
      <c r="H15" s="16">
        <v>1</v>
      </c>
      <c r="I15" s="44"/>
      <c r="J15" s="16">
        <v>1</v>
      </c>
      <c r="K15" s="44"/>
      <c r="L15" s="16">
        <v>1</v>
      </c>
      <c r="M15" s="44"/>
      <c r="N15" s="16">
        <v>1</v>
      </c>
      <c r="O15" s="44"/>
      <c r="P15" s="16">
        <v>1</v>
      </c>
      <c r="Q15" s="46"/>
      <c r="R15" s="16">
        <v>1</v>
      </c>
      <c r="S15" s="46"/>
    </row>
    <row r="16" spans="1:19">
      <c r="A16" s="39"/>
      <c r="B16" s="9" t="s">
        <v>61</v>
      </c>
      <c r="C16" s="10" t="s">
        <v>93</v>
      </c>
      <c r="D16" s="39"/>
      <c r="E16" s="39"/>
      <c r="F16" s="16">
        <v>1</v>
      </c>
      <c r="G16" s="44"/>
      <c r="H16" s="16">
        <v>1</v>
      </c>
      <c r="I16" s="44"/>
      <c r="J16" s="16">
        <v>1</v>
      </c>
      <c r="K16" s="44"/>
      <c r="L16" s="16">
        <v>1</v>
      </c>
      <c r="M16" s="44"/>
      <c r="N16" s="16">
        <v>1</v>
      </c>
      <c r="O16" s="44"/>
      <c r="P16" s="16">
        <v>1</v>
      </c>
      <c r="Q16" s="46"/>
      <c r="R16" s="16">
        <v>1</v>
      </c>
      <c r="S16" s="46"/>
    </row>
    <row r="17" spans="1:19">
      <c r="A17" s="39"/>
      <c r="B17" s="9" t="s">
        <v>62</v>
      </c>
      <c r="C17" s="10" t="s">
        <v>65</v>
      </c>
      <c r="D17" s="39"/>
      <c r="E17" s="39"/>
      <c r="F17" s="16">
        <v>8</v>
      </c>
      <c r="G17" s="44"/>
      <c r="H17" s="16">
        <v>10</v>
      </c>
      <c r="I17" s="44"/>
      <c r="J17" s="16">
        <v>10</v>
      </c>
      <c r="K17" s="44"/>
      <c r="L17" s="16">
        <v>9</v>
      </c>
      <c r="M17" s="44"/>
      <c r="N17" s="16">
        <v>10</v>
      </c>
      <c r="O17" s="44"/>
      <c r="P17" s="16">
        <v>10</v>
      </c>
      <c r="Q17" s="46"/>
      <c r="R17" s="16">
        <v>10</v>
      </c>
      <c r="S17" s="46"/>
    </row>
    <row r="18" spans="1:19">
      <c r="A18" s="39"/>
      <c r="B18" s="9" t="s">
        <v>63</v>
      </c>
      <c r="C18" s="10" t="s">
        <v>66</v>
      </c>
      <c r="D18" s="39"/>
      <c r="E18" s="39"/>
      <c r="F18" s="16">
        <v>6</v>
      </c>
      <c r="G18" s="44"/>
      <c r="H18" s="16">
        <v>6</v>
      </c>
      <c r="I18" s="44"/>
      <c r="J18" s="16">
        <v>7</v>
      </c>
      <c r="K18" s="44"/>
      <c r="L18" s="16">
        <v>6</v>
      </c>
      <c r="M18" s="44"/>
      <c r="N18" s="16">
        <v>5</v>
      </c>
      <c r="O18" s="44"/>
      <c r="P18" s="16">
        <v>6</v>
      </c>
      <c r="Q18" s="46"/>
      <c r="R18" s="16">
        <v>6</v>
      </c>
      <c r="S18" s="46"/>
    </row>
    <row r="19" spans="1:19">
      <c r="A19" s="39"/>
      <c r="B19" s="9" t="s">
        <v>64</v>
      </c>
      <c r="C19" s="12" t="s">
        <v>67</v>
      </c>
      <c r="D19" s="39"/>
      <c r="E19" s="39"/>
      <c r="F19" s="16">
        <v>3</v>
      </c>
      <c r="G19" s="48"/>
      <c r="H19" s="16">
        <v>3</v>
      </c>
      <c r="I19" s="44"/>
      <c r="J19" s="16">
        <v>3</v>
      </c>
      <c r="K19" s="44"/>
      <c r="L19" s="16">
        <v>4</v>
      </c>
      <c r="M19" s="44"/>
      <c r="N19" s="16">
        <v>4</v>
      </c>
      <c r="O19" s="44"/>
      <c r="P19" s="16">
        <v>4</v>
      </c>
      <c r="Q19" s="46"/>
      <c r="R19" s="16">
        <v>3</v>
      </c>
      <c r="S19" s="46"/>
    </row>
    <row r="20" spans="1:19">
      <c r="A20" s="35" t="s">
        <v>51</v>
      </c>
      <c r="B20" s="2" t="s">
        <v>52</v>
      </c>
      <c r="C20" s="3" t="s">
        <v>53</v>
      </c>
      <c r="D20" s="35" t="s">
        <v>7</v>
      </c>
      <c r="E20" s="35" t="s">
        <v>10</v>
      </c>
      <c r="F20" s="15">
        <v>5</v>
      </c>
      <c r="G20" s="45">
        <v>4.5555555555555554</v>
      </c>
      <c r="H20" s="15">
        <v>5</v>
      </c>
      <c r="I20" s="45">
        <v>4.666666666666667</v>
      </c>
      <c r="J20" s="15">
        <v>5</v>
      </c>
      <c r="K20" s="45">
        <v>4.7777777777777777</v>
      </c>
      <c r="L20" s="15">
        <v>5</v>
      </c>
      <c r="M20" s="45">
        <v>4.666666666666667</v>
      </c>
      <c r="N20" s="15">
        <v>6</v>
      </c>
      <c r="O20" s="45">
        <v>4.4444444444444446</v>
      </c>
      <c r="P20" s="15">
        <v>7</v>
      </c>
      <c r="Q20" s="45">
        <f t="shared" ref="Q20" si="2">SUM(P20:P28)/9</f>
        <v>4.8888888888888893</v>
      </c>
      <c r="R20" s="15">
        <v>6</v>
      </c>
      <c r="S20" s="45">
        <f t="shared" ref="S20" si="3" xml:space="preserve"> SUM(R20:R28)/9</f>
        <v>4.666666666666667</v>
      </c>
    </row>
    <row r="21" spans="1:19">
      <c r="A21" s="36"/>
      <c r="B21" s="2" t="s">
        <v>54</v>
      </c>
      <c r="C21" s="3" t="s">
        <v>55</v>
      </c>
      <c r="D21" s="36"/>
      <c r="E21" s="36"/>
      <c r="F21" s="15">
        <v>5</v>
      </c>
      <c r="G21" s="46"/>
      <c r="H21" s="15">
        <v>4</v>
      </c>
      <c r="I21" s="46"/>
      <c r="J21" s="15">
        <v>6</v>
      </c>
      <c r="K21" s="46"/>
      <c r="L21" s="15">
        <v>5</v>
      </c>
      <c r="M21" s="46"/>
      <c r="N21" s="15">
        <v>1</v>
      </c>
      <c r="O21" s="46"/>
      <c r="P21" s="15">
        <v>4</v>
      </c>
      <c r="Q21" s="46"/>
      <c r="R21" s="15">
        <v>3</v>
      </c>
      <c r="S21" s="46"/>
    </row>
    <row r="22" spans="1:19">
      <c r="A22" s="36"/>
      <c r="B22" s="2" t="s">
        <v>56</v>
      </c>
      <c r="C22" s="3" t="s">
        <v>57</v>
      </c>
      <c r="D22" s="36"/>
      <c r="E22" s="36"/>
      <c r="F22" s="15">
        <v>3</v>
      </c>
      <c r="G22" s="46"/>
      <c r="H22" s="15">
        <v>4</v>
      </c>
      <c r="I22" s="46"/>
      <c r="J22" s="15">
        <v>4</v>
      </c>
      <c r="K22" s="46"/>
      <c r="L22" s="15">
        <v>4</v>
      </c>
      <c r="M22" s="46"/>
      <c r="N22" s="15">
        <v>5</v>
      </c>
      <c r="O22" s="46"/>
      <c r="P22" s="15">
        <v>5</v>
      </c>
      <c r="Q22" s="46"/>
      <c r="R22" s="15">
        <v>4</v>
      </c>
      <c r="S22" s="46"/>
    </row>
    <row r="23" spans="1:19">
      <c r="A23" s="36"/>
      <c r="B23" s="2" t="s">
        <v>58</v>
      </c>
      <c r="C23" s="3" t="s">
        <v>59</v>
      </c>
      <c r="D23" s="36"/>
      <c r="E23" s="36"/>
      <c r="F23" s="15">
        <v>10</v>
      </c>
      <c r="G23" s="46"/>
      <c r="H23" s="15">
        <v>10</v>
      </c>
      <c r="I23" s="46"/>
      <c r="J23" s="15">
        <v>10</v>
      </c>
      <c r="K23" s="46"/>
      <c r="L23" s="15">
        <v>10</v>
      </c>
      <c r="M23" s="46"/>
      <c r="N23" s="15">
        <v>10</v>
      </c>
      <c r="O23" s="46"/>
      <c r="P23" s="15">
        <v>10</v>
      </c>
      <c r="Q23" s="46"/>
      <c r="R23" s="15">
        <v>10</v>
      </c>
      <c r="S23" s="46"/>
    </row>
    <row r="24" spans="1:19">
      <c r="A24" s="36"/>
      <c r="B24" s="2" t="s">
        <v>60</v>
      </c>
      <c r="C24" s="3" t="s">
        <v>94</v>
      </c>
      <c r="D24" s="36"/>
      <c r="E24" s="36"/>
      <c r="F24" s="15">
        <v>1</v>
      </c>
      <c r="G24" s="46"/>
      <c r="H24" s="15">
        <v>1</v>
      </c>
      <c r="I24" s="46"/>
      <c r="J24" s="15">
        <v>1</v>
      </c>
      <c r="K24" s="46"/>
      <c r="L24" s="15">
        <v>1</v>
      </c>
      <c r="M24" s="46"/>
      <c r="N24" s="15">
        <v>1</v>
      </c>
      <c r="O24" s="46"/>
      <c r="P24" s="15">
        <v>1</v>
      </c>
      <c r="Q24" s="46"/>
      <c r="R24" s="15">
        <v>1</v>
      </c>
      <c r="S24" s="46"/>
    </row>
    <row r="25" spans="1:19">
      <c r="A25" s="36"/>
      <c r="B25" s="2" t="s">
        <v>61</v>
      </c>
      <c r="C25" s="3" t="s">
        <v>93</v>
      </c>
      <c r="D25" s="36"/>
      <c r="E25" s="36"/>
      <c r="F25" s="15">
        <v>1</v>
      </c>
      <c r="G25" s="46"/>
      <c r="H25" s="15">
        <v>1</v>
      </c>
      <c r="I25" s="46"/>
      <c r="J25" s="15">
        <v>1</v>
      </c>
      <c r="K25" s="46"/>
      <c r="L25" s="15">
        <v>1</v>
      </c>
      <c r="M25" s="46"/>
      <c r="N25" s="15">
        <v>1</v>
      </c>
      <c r="O25" s="46"/>
      <c r="P25" s="15">
        <v>1</v>
      </c>
      <c r="Q25" s="46"/>
      <c r="R25" s="15">
        <v>1</v>
      </c>
      <c r="S25" s="46"/>
    </row>
    <row r="26" spans="1:19">
      <c r="A26" s="36"/>
      <c r="B26" s="2" t="s">
        <v>62</v>
      </c>
      <c r="C26" s="3" t="s">
        <v>65</v>
      </c>
      <c r="D26" s="36"/>
      <c r="E26" s="36"/>
      <c r="F26" s="15">
        <v>10</v>
      </c>
      <c r="G26" s="46"/>
      <c r="H26" s="15">
        <v>10</v>
      </c>
      <c r="I26" s="46"/>
      <c r="J26" s="15">
        <v>10</v>
      </c>
      <c r="K26" s="46"/>
      <c r="L26" s="15">
        <v>10</v>
      </c>
      <c r="M26" s="46"/>
      <c r="N26" s="15">
        <v>10</v>
      </c>
      <c r="O26" s="46"/>
      <c r="P26" s="15">
        <v>10</v>
      </c>
      <c r="Q26" s="46"/>
      <c r="R26" s="15">
        <v>10</v>
      </c>
      <c r="S26" s="46"/>
    </row>
    <row r="27" spans="1:19">
      <c r="A27" s="36"/>
      <c r="B27" s="2" t="s">
        <v>63</v>
      </c>
      <c r="C27" s="3" t="s">
        <v>66</v>
      </c>
      <c r="D27" s="36"/>
      <c r="E27" s="36"/>
      <c r="F27" s="15">
        <v>3</v>
      </c>
      <c r="G27" s="46"/>
      <c r="H27" s="15">
        <v>4</v>
      </c>
      <c r="I27" s="46"/>
      <c r="J27" s="15">
        <v>3</v>
      </c>
      <c r="K27" s="46"/>
      <c r="L27" s="15">
        <v>3</v>
      </c>
      <c r="M27" s="46"/>
      <c r="N27" s="15">
        <v>2</v>
      </c>
      <c r="O27" s="46"/>
      <c r="P27" s="15">
        <v>2</v>
      </c>
      <c r="Q27" s="46"/>
      <c r="R27" s="15">
        <v>3</v>
      </c>
      <c r="S27" s="46"/>
    </row>
    <row r="28" spans="1:19">
      <c r="A28" s="36"/>
      <c r="B28" s="2" t="s">
        <v>64</v>
      </c>
      <c r="C28" s="7" t="s">
        <v>67</v>
      </c>
      <c r="D28" s="36"/>
      <c r="E28" s="36"/>
      <c r="F28" s="15">
        <v>3</v>
      </c>
      <c r="G28" s="47"/>
      <c r="H28" s="15">
        <v>3</v>
      </c>
      <c r="I28" s="46"/>
      <c r="J28" s="15">
        <v>3</v>
      </c>
      <c r="K28" s="46"/>
      <c r="L28" s="15">
        <v>3</v>
      </c>
      <c r="M28" s="46"/>
      <c r="N28" s="15">
        <v>4</v>
      </c>
      <c r="O28" s="46"/>
      <c r="P28" s="15">
        <v>4</v>
      </c>
      <c r="Q28" s="46"/>
      <c r="R28" s="15">
        <v>4</v>
      </c>
      <c r="S28" s="46"/>
    </row>
    <row r="29" spans="1:19">
      <c r="A29" s="38" t="s">
        <v>51</v>
      </c>
      <c r="B29" s="9" t="s">
        <v>52</v>
      </c>
      <c r="C29" s="10" t="s">
        <v>53</v>
      </c>
      <c r="D29" s="38" t="s">
        <v>7</v>
      </c>
      <c r="E29" s="38" t="s">
        <v>11</v>
      </c>
      <c r="F29" s="16">
        <v>2</v>
      </c>
      <c r="G29" s="43">
        <v>5.2222222222222223</v>
      </c>
      <c r="H29" s="16">
        <v>2</v>
      </c>
      <c r="I29" s="43">
        <v>5</v>
      </c>
      <c r="J29" s="16">
        <v>2</v>
      </c>
      <c r="K29" s="43">
        <v>5.1111111111111107</v>
      </c>
      <c r="L29" s="16">
        <v>2</v>
      </c>
      <c r="M29" s="43">
        <v>5.333333333333333</v>
      </c>
      <c r="N29" s="16">
        <v>3</v>
      </c>
      <c r="O29" s="43">
        <v>5.5555555555555554</v>
      </c>
      <c r="P29" s="16">
        <v>3</v>
      </c>
      <c r="Q29" s="45">
        <f t="shared" ref="Q29" si="4">SUM(P29:P37)/9</f>
        <v>5.7777777777777777</v>
      </c>
      <c r="R29" s="16">
        <v>3</v>
      </c>
      <c r="S29" s="45">
        <f t="shared" ref="S29" si="5" xml:space="preserve"> SUM(R29:R37)/9</f>
        <v>5.8888888888888893</v>
      </c>
    </row>
    <row r="30" spans="1:19">
      <c r="A30" s="39"/>
      <c r="B30" s="9" t="s">
        <v>54</v>
      </c>
      <c r="C30" s="10" t="s">
        <v>55</v>
      </c>
      <c r="D30" s="39"/>
      <c r="E30" s="39"/>
      <c r="F30" s="16">
        <v>8</v>
      </c>
      <c r="G30" s="44"/>
      <c r="H30" s="16">
        <v>7</v>
      </c>
      <c r="I30" s="44"/>
      <c r="J30" s="16">
        <v>6</v>
      </c>
      <c r="K30" s="44"/>
      <c r="L30" s="16">
        <v>7</v>
      </c>
      <c r="M30" s="44"/>
      <c r="N30" s="16">
        <v>8</v>
      </c>
      <c r="O30" s="44"/>
      <c r="P30" s="16">
        <v>10</v>
      </c>
      <c r="Q30" s="46"/>
      <c r="R30" s="16">
        <v>9</v>
      </c>
      <c r="S30" s="46"/>
    </row>
    <row r="31" spans="1:19">
      <c r="A31" s="39"/>
      <c r="B31" s="9" t="s">
        <v>56</v>
      </c>
      <c r="C31" s="10" t="s">
        <v>57</v>
      </c>
      <c r="D31" s="39"/>
      <c r="E31" s="39"/>
      <c r="F31" s="16">
        <v>3</v>
      </c>
      <c r="G31" s="44"/>
      <c r="H31" s="16">
        <v>3</v>
      </c>
      <c r="I31" s="44"/>
      <c r="J31" s="16">
        <v>3</v>
      </c>
      <c r="K31" s="44"/>
      <c r="L31" s="16">
        <v>4</v>
      </c>
      <c r="M31" s="44"/>
      <c r="N31" s="16">
        <v>4</v>
      </c>
      <c r="O31" s="44"/>
      <c r="P31" s="16">
        <v>4</v>
      </c>
      <c r="Q31" s="46"/>
      <c r="R31" s="16">
        <v>5</v>
      </c>
      <c r="S31" s="46"/>
    </row>
    <row r="32" spans="1:19">
      <c r="A32" s="39"/>
      <c r="B32" s="9" t="s">
        <v>58</v>
      </c>
      <c r="C32" s="10" t="s">
        <v>59</v>
      </c>
      <c r="D32" s="39"/>
      <c r="E32" s="39"/>
      <c r="F32" s="16">
        <v>10</v>
      </c>
      <c r="G32" s="44"/>
      <c r="H32" s="16">
        <v>10</v>
      </c>
      <c r="I32" s="44"/>
      <c r="J32" s="16">
        <v>10</v>
      </c>
      <c r="K32" s="44"/>
      <c r="L32" s="16">
        <v>10</v>
      </c>
      <c r="M32" s="44"/>
      <c r="N32" s="16">
        <v>10</v>
      </c>
      <c r="O32" s="44"/>
      <c r="P32" s="16">
        <v>10</v>
      </c>
      <c r="Q32" s="46"/>
      <c r="R32" s="16">
        <v>10</v>
      </c>
      <c r="S32" s="46"/>
    </row>
    <row r="33" spans="1:19">
      <c r="A33" s="39"/>
      <c r="B33" s="9" t="s">
        <v>60</v>
      </c>
      <c r="C33" s="10" t="s">
        <v>94</v>
      </c>
      <c r="D33" s="39"/>
      <c r="E33" s="39"/>
      <c r="F33" s="16">
        <v>1</v>
      </c>
      <c r="G33" s="44"/>
      <c r="H33" s="16">
        <v>1</v>
      </c>
      <c r="I33" s="44"/>
      <c r="J33" s="16">
        <v>1</v>
      </c>
      <c r="K33" s="44"/>
      <c r="L33" s="16">
        <v>1</v>
      </c>
      <c r="M33" s="44"/>
      <c r="N33" s="16">
        <v>1</v>
      </c>
      <c r="O33" s="44"/>
      <c r="P33" s="16">
        <v>1</v>
      </c>
      <c r="Q33" s="46"/>
      <c r="R33" s="16">
        <v>1</v>
      </c>
      <c r="S33" s="46"/>
    </row>
    <row r="34" spans="1:19">
      <c r="A34" s="39"/>
      <c r="B34" s="9" t="s">
        <v>61</v>
      </c>
      <c r="C34" s="10" t="s">
        <v>93</v>
      </c>
      <c r="D34" s="39"/>
      <c r="E34" s="39"/>
      <c r="F34" s="16">
        <v>1</v>
      </c>
      <c r="G34" s="44"/>
      <c r="H34" s="16">
        <v>1</v>
      </c>
      <c r="I34" s="44"/>
      <c r="J34" s="16">
        <v>1</v>
      </c>
      <c r="K34" s="44"/>
      <c r="L34" s="16">
        <v>1</v>
      </c>
      <c r="M34" s="44"/>
      <c r="N34" s="16">
        <v>1</v>
      </c>
      <c r="O34" s="44"/>
      <c r="P34" s="16">
        <v>1</v>
      </c>
      <c r="Q34" s="46"/>
      <c r="R34" s="16">
        <v>1</v>
      </c>
      <c r="S34" s="46"/>
    </row>
    <row r="35" spans="1:19">
      <c r="A35" s="39"/>
      <c r="B35" s="9" t="s">
        <v>62</v>
      </c>
      <c r="C35" s="10" t="s">
        <v>65</v>
      </c>
      <c r="D35" s="39"/>
      <c r="E35" s="39"/>
      <c r="F35" s="16">
        <v>10</v>
      </c>
      <c r="G35" s="44"/>
      <c r="H35" s="16">
        <v>10</v>
      </c>
      <c r="I35" s="44"/>
      <c r="J35" s="16">
        <v>10</v>
      </c>
      <c r="K35" s="44"/>
      <c r="L35" s="16">
        <v>10</v>
      </c>
      <c r="M35" s="44"/>
      <c r="N35" s="16">
        <v>10</v>
      </c>
      <c r="O35" s="44"/>
      <c r="P35" s="16">
        <v>10</v>
      </c>
      <c r="Q35" s="46"/>
      <c r="R35" s="16">
        <v>10</v>
      </c>
      <c r="S35" s="46"/>
    </row>
    <row r="36" spans="1:19">
      <c r="A36" s="39"/>
      <c r="B36" s="9" t="s">
        <v>63</v>
      </c>
      <c r="C36" s="10" t="s">
        <v>66</v>
      </c>
      <c r="D36" s="39"/>
      <c r="E36" s="39"/>
      <c r="F36" s="16">
        <v>8</v>
      </c>
      <c r="G36" s="44"/>
      <c r="H36" s="16">
        <v>8</v>
      </c>
      <c r="I36" s="44"/>
      <c r="J36" s="16">
        <v>8</v>
      </c>
      <c r="K36" s="44"/>
      <c r="L36" s="16">
        <v>9</v>
      </c>
      <c r="M36" s="44"/>
      <c r="N36" s="16">
        <v>8</v>
      </c>
      <c r="O36" s="44"/>
      <c r="P36" s="16">
        <v>8</v>
      </c>
      <c r="Q36" s="46"/>
      <c r="R36" s="16">
        <v>8</v>
      </c>
      <c r="S36" s="46"/>
    </row>
    <row r="37" spans="1:19">
      <c r="A37" s="39"/>
      <c r="B37" s="9" t="s">
        <v>64</v>
      </c>
      <c r="C37" s="12" t="s">
        <v>67</v>
      </c>
      <c r="D37" s="39"/>
      <c r="E37" s="39"/>
      <c r="F37" s="16">
        <v>4</v>
      </c>
      <c r="G37" s="48"/>
      <c r="H37" s="16">
        <v>3</v>
      </c>
      <c r="I37" s="44"/>
      <c r="J37" s="16">
        <v>5</v>
      </c>
      <c r="K37" s="44"/>
      <c r="L37" s="16">
        <v>4</v>
      </c>
      <c r="M37" s="44"/>
      <c r="N37" s="16">
        <v>5</v>
      </c>
      <c r="O37" s="44"/>
      <c r="P37" s="16">
        <v>5</v>
      </c>
      <c r="Q37" s="46"/>
      <c r="R37" s="16">
        <v>6</v>
      </c>
      <c r="S37" s="46"/>
    </row>
    <row r="38" spans="1:19">
      <c r="A38" s="35" t="s">
        <v>51</v>
      </c>
      <c r="B38" s="2" t="s">
        <v>52</v>
      </c>
      <c r="C38" s="3" t="s">
        <v>53</v>
      </c>
      <c r="D38" s="35" t="s">
        <v>7</v>
      </c>
      <c r="E38" s="35" t="s">
        <v>12</v>
      </c>
      <c r="F38" s="15">
        <v>3</v>
      </c>
      <c r="G38" s="45">
        <v>1.8888888888888888</v>
      </c>
      <c r="H38" s="15">
        <v>2</v>
      </c>
      <c r="I38" s="45">
        <v>1.5555555555555556</v>
      </c>
      <c r="J38" s="15">
        <v>2</v>
      </c>
      <c r="K38" s="45">
        <v>2.1111111111111112</v>
      </c>
      <c r="L38" s="15">
        <v>2</v>
      </c>
      <c r="M38" s="45">
        <v>2.2222222222222223</v>
      </c>
      <c r="N38" s="15">
        <v>3</v>
      </c>
      <c r="O38" s="45">
        <v>1.7777777777777777</v>
      </c>
      <c r="P38" s="15">
        <v>3</v>
      </c>
      <c r="Q38" s="45">
        <f t="shared" ref="Q38" si="6">SUM(P38:P46)/9</f>
        <v>2.3333333333333335</v>
      </c>
      <c r="R38" s="15">
        <v>3</v>
      </c>
      <c r="S38" s="45">
        <f t="shared" ref="S38" si="7" xml:space="preserve"> SUM(R38:R46)/9</f>
        <v>2.3333333333333335</v>
      </c>
    </row>
    <row r="39" spans="1:19">
      <c r="A39" s="36"/>
      <c r="B39" s="2" t="s">
        <v>54</v>
      </c>
      <c r="C39" s="3" t="s">
        <v>55</v>
      </c>
      <c r="D39" s="36"/>
      <c r="E39" s="36"/>
      <c r="F39" s="15">
        <v>3</v>
      </c>
      <c r="G39" s="46"/>
      <c r="H39" s="15">
        <v>1</v>
      </c>
      <c r="I39" s="46"/>
      <c r="J39" s="15">
        <v>4</v>
      </c>
      <c r="K39" s="46"/>
      <c r="L39" s="15">
        <v>4</v>
      </c>
      <c r="M39" s="46"/>
      <c r="N39" s="15">
        <v>1</v>
      </c>
      <c r="O39" s="46"/>
      <c r="P39" s="15">
        <v>4</v>
      </c>
      <c r="Q39" s="46"/>
      <c r="R39" s="15">
        <v>4</v>
      </c>
      <c r="S39" s="46"/>
    </row>
    <row r="40" spans="1:19">
      <c r="A40" s="36"/>
      <c r="B40" s="2" t="s">
        <v>56</v>
      </c>
      <c r="C40" s="3" t="s">
        <v>57</v>
      </c>
      <c r="D40" s="36"/>
      <c r="E40" s="36"/>
      <c r="F40" s="15">
        <v>1</v>
      </c>
      <c r="G40" s="46"/>
      <c r="H40" s="15">
        <v>1</v>
      </c>
      <c r="I40" s="46"/>
      <c r="J40" s="15">
        <v>1</v>
      </c>
      <c r="K40" s="46"/>
      <c r="L40" s="15">
        <v>2</v>
      </c>
      <c r="M40" s="46"/>
      <c r="N40" s="15">
        <v>1</v>
      </c>
      <c r="O40" s="46"/>
      <c r="P40" s="15">
        <v>2</v>
      </c>
      <c r="Q40" s="46"/>
      <c r="R40" s="15">
        <v>2</v>
      </c>
      <c r="S40" s="46"/>
    </row>
    <row r="41" spans="1:19">
      <c r="A41" s="36"/>
      <c r="B41" s="2" t="s">
        <v>58</v>
      </c>
      <c r="C41" s="3" t="s">
        <v>59</v>
      </c>
      <c r="D41" s="36"/>
      <c r="E41" s="36"/>
      <c r="F41" s="15">
        <v>1</v>
      </c>
      <c r="G41" s="46"/>
      <c r="H41" s="15">
        <v>1</v>
      </c>
      <c r="I41" s="46"/>
      <c r="J41" s="15">
        <v>1</v>
      </c>
      <c r="K41" s="46"/>
      <c r="L41" s="15">
        <v>1</v>
      </c>
      <c r="M41" s="46"/>
      <c r="N41" s="15">
        <v>1</v>
      </c>
      <c r="O41" s="46"/>
      <c r="P41" s="15">
        <v>2</v>
      </c>
      <c r="Q41" s="46"/>
      <c r="R41" s="15">
        <v>2</v>
      </c>
      <c r="S41" s="46"/>
    </row>
    <row r="42" spans="1:19">
      <c r="A42" s="36"/>
      <c r="B42" s="2" t="s">
        <v>60</v>
      </c>
      <c r="C42" s="3" t="s">
        <v>94</v>
      </c>
      <c r="D42" s="36"/>
      <c r="E42" s="36"/>
      <c r="F42" s="15">
        <v>1</v>
      </c>
      <c r="G42" s="46"/>
      <c r="H42" s="15">
        <v>1</v>
      </c>
      <c r="I42" s="46"/>
      <c r="J42" s="15">
        <v>1</v>
      </c>
      <c r="K42" s="46"/>
      <c r="L42" s="15">
        <v>1</v>
      </c>
      <c r="M42" s="46"/>
      <c r="N42" s="15">
        <v>1</v>
      </c>
      <c r="O42" s="46"/>
      <c r="P42" s="15">
        <v>1</v>
      </c>
      <c r="Q42" s="46"/>
      <c r="R42" s="15">
        <v>1</v>
      </c>
      <c r="S42" s="46"/>
    </row>
    <row r="43" spans="1:19">
      <c r="A43" s="36"/>
      <c r="B43" s="2" t="s">
        <v>61</v>
      </c>
      <c r="C43" s="3" t="s">
        <v>93</v>
      </c>
      <c r="D43" s="36"/>
      <c r="E43" s="36"/>
      <c r="F43" s="15">
        <v>1</v>
      </c>
      <c r="G43" s="46"/>
      <c r="H43" s="15">
        <v>1</v>
      </c>
      <c r="I43" s="46"/>
      <c r="J43" s="15">
        <v>1</v>
      </c>
      <c r="K43" s="46"/>
      <c r="L43" s="15">
        <v>1</v>
      </c>
      <c r="M43" s="46"/>
      <c r="N43" s="15">
        <v>1</v>
      </c>
      <c r="O43" s="46"/>
      <c r="P43" s="15">
        <v>1</v>
      </c>
      <c r="Q43" s="46"/>
      <c r="R43" s="15">
        <v>1</v>
      </c>
      <c r="S43" s="46"/>
    </row>
    <row r="44" spans="1:19">
      <c r="A44" s="36"/>
      <c r="B44" s="2" t="s">
        <v>62</v>
      </c>
      <c r="C44" s="3" t="s">
        <v>65</v>
      </c>
      <c r="D44" s="36"/>
      <c r="E44" s="36"/>
      <c r="F44" s="15">
        <v>1</v>
      </c>
      <c r="G44" s="46"/>
      <c r="H44" s="15">
        <v>1</v>
      </c>
      <c r="I44" s="46"/>
      <c r="J44" s="15">
        <v>1</v>
      </c>
      <c r="K44" s="46"/>
      <c r="L44" s="15">
        <v>1</v>
      </c>
      <c r="M44" s="46"/>
      <c r="N44" s="15">
        <v>1</v>
      </c>
      <c r="O44" s="46"/>
      <c r="P44" s="15">
        <v>1</v>
      </c>
      <c r="Q44" s="46"/>
      <c r="R44" s="15">
        <v>1</v>
      </c>
      <c r="S44" s="46"/>
    </row>
    <row r="45" spans="1:19">
      <c r="A45" s="36"/>
      <c r="B45" s="2" t="s">
        <v>63</v>
      </c>
      <c r="C45" s="3" t="s">
        <v>66</v>
      </c>
      <c r="D45" s="36"/>
      <c r="E45" s="36"/>
      <c r="F45" s="15">
        <v>5</v>
      </c>
      <c r="G45" s="46"/>
      <c r="H45" s="15">
        <v>5</v>
      </c>
      <c r="I45" s="46"/>
      <c r="J45" s="15">
        <v>6</v>
      </c>
      <c r="K45" s="46"/>
      <c r="L45" s="15">
        <v>6</v>
      </c>
      <c r="M45" s="46"/>
      <c r="N45" s="15">
        <v>5</v>
      </c>
      <c r="O45" s="46"/>
      <c r="P45" s="15">
        <v>5</v>
      </c>
      <c r="Q45" s="46"/>
      <c r="R45" s="15">
        <v>5</v>
      </c>
      <c r="S45" s="46"/>
    </row>
    <row r="46" spans="1:19">
      <c r="A46" s="36"/>
      <c r="B46" s="2" t="s">
        <v>64</v>
      </c>
      <c r="C46" s="7" t="s">
        <v>67</v>
      </c>
      <c r="D46" s="36"/>
      <c r="E46" s="36"/>
      <c r="F46" s="15">
        <v>1</v>
      </c>
      <c r="G46" s="47"/>
      <c r="H46" s="15">
        <v>1</v>
      </c>
      <c r="I46" s="46"/>
      <c r="J46" s="15">
        <v>2</v>
      </c>
      <c r="K46" s="46"/>
      <c r="L46" s="15">
        <v>2</v>
      </c>
      <c r="M46" s="46"/>
      <c r="N46" s="15">
        <v>2</v>
      </c>
      <c r="O46" s="46"/>
      <c r="P46" s="15">
        <v>2</v>
      </c>
      <c r="Q46" s="46"/>
      <c r="R46" s="15">
        <v>2</v>
      </c>
      <c r="S46" s="46"/>
    </row>
    <row r="47" spans="1:19">
      <c r="A47" s="38" t="s">
        <v>51</v>
      </c>
      <c r="B47" s="9" t="s">
        <v>52</v>
      </c>
      <c r="C47" s="10" t="s">
        <v>53</v>
      </c>
      <c r="D47" s="38" t="s">
        <v>7</v>
      </c>
      <c r="E47" s="38" t="s">
        <v>13</v>
      </c>
      <c r="F47" s="16">
        <v>1</v>
      </c>
      <c r="G47" s="43">
        <v>2.4444444444444446</v>
      </c>
      <c r="H47" s="16">
        <v>1</v>
      </c>
      <c r="I47" s="43">
        <v>1.8888888888888888</v>
      </c>
      <c r="J47" s="16">
        <v>1</v>
      </c>
      <c r="K47" s="43">
        <v>2.1111111111111112</v>
      </c>
      <c r="L47" s="16">
        <v>1</v>
      </c>
      <c r="M47" s="43">
        <v>2.1111111111111112</v>
      </c>
      <c r="N47" s="16">
        <v>1</v>
      </c>
      <c r="O47" s="43">
        <v>1.8888888888888888</v>
      </c>
      <c r="P47" s="16">
        <v>1</v>
      </c>
      <c r="Q47" s="45">
        <f t="shared" ref="Q47" si="8">SUM(P47:P55)/9</f>
        <v>2.5555555555555554</v>
      </c>
      <c r="R47" s="16">
        <v>1</v>
      </c>
      <c r="S47" s="45">
        <f t="shared" ref="S47" si="9" xml:space="preserve"> SUM(R47:R55)/9</f>
        <v>2.5555555555555554</v>
      </c>
    </row>
    <row r="48" spans="1:19">
      <c r="A48" s="39"/>
      <c r="B48" s="9" t="s">
        <v>54</v>
      </c>
      <c r="C48" s="10" t="s">
        <v>55</v>
      </c>
      <c r="D48" s="39"/>
      <c r="E48" s="39"/>
      <c r="F48" s="16">
        <v>6</v>
      </c>
      <c r="G48" s="44"/>
      <c r="H48" s="16">
        <v>2</v>
      </c>
      <c r="I48" s="44"/>
      <c r="J48" s="16">
        <v>4</v>
      </c>
      <c r="K48" s="44"/>
      <c r="L48" s="16">
        <v>2</v>
      </c>
      <c r="M48" s="44"/>
      <c r="N48" s="16">
        <v>1</v>
      </c>
      <c r="O48" s="44"/>
      <c r="P48" s="16">
        <v>5</v>
      </c>
      <c r="Q48" s="46"/>
      <c r="R48" s="16">
        <v>3</v>
      </c>
      <c r="S48" s="46"/>
    </row>
    <row r="49" spans="1:19">
      <c r="A49" s="39"/>
      <c r="B49" s="9" t="s">
        <v>56</v>
      </c>
      <c r="C49" s="10" t="s">
        <v>57</v>
      </c>
      <c r="D49" s="39"/>
      <c r="E49" s="39"/>
      <c r="F49" s="16">
        <v>1</v>
      </c>
      <c r="G49" s="44"/>
      <c r="H49" s="16">
        <v>1</v>
      </c>
      <c r="I49" s="44"/>
      <c r="J49" s="16">
        <v>1</v>
      </c>
      <c r="K49" s="44"/>
      <c r="L49" s="16">
        <v>1</v>
      </c>
      <c r="M49" s="44"/>
      <c r="N49" s="16">
        <v>1</v>
      </c>
      <c r="O49" s="44"/>
      <c r="P49" s="16">
        <v>1</v>
      </c>
      <c r="Q49" s="46"/>
      <c r="R49" s="16">
        <v>1</v>
      </c>
      <c r="S49" s="46"/>
    </row>
    <row r="50" spans="1:19">
      <c r="A50" s="39"/>
      <c r="B50" s="9" t="s">
        <v>58</v>
      </c>
      <c r="C50" s="10" t="s">
        <v>59</v>
      </c>
      <c r="D50" s="39"/>
      <c r="E50" s="39"/>
      <c r="F50" s="16">
        <v>1</v>
      </c>
      <c r="G50" s="44"/>
      <c r="H50" s="16">
        <v>1</v>
      </c>
      <c r="I50" s="44"/>
      <c r="J50" s="16">
        <v>1</v>
      </c>
      <c r="K50" s="44"/>
      <c r="L50" s="16">
        <v>1</v>
      </c>
      <c r="M50" s="44"/>
      <c r="N50" s="16">
        <v>1</v>
      </c>
      <c r="O50" s="44"/>
      <c r="P50" s="16">
        <v>2</v>
      </c>
      <c r="Q50" s="46"/>
      <c r="R50" s="16">
        <v>3</v>
      </c>
      <c r="S50" s="46"/>
    </row>
    <row r="51" spans="1:19">
      <c r="A51" s="39"/>
      <c r="B51" s="9" t="s">
        <v>60</v>
      </c>
      <c r="C51" s="10" t="s">
        <v>94</v>
      </c>
      <c r="D51" s="39"/>
      <c r="E51" s="39"/>
      <c r="F51" s="16">
        <v>1</v>
      </c>
      <c r="G51" s="44"/>
      <c r="H51" s="16">
        <v>1</v>
      </c>
      <c r="I51" s="44"/>
      <c r="J51" s="16">
        <v>1</v>
      </c>
      <c r="K51" s="44"/>
      <c r="L51" s="16">
        <v>2</v>
      </c>
      <c r="M51" s="44"/>
      <c r="N51" s="16">
        <v>2</v>
      </c>
      <c r="O51" s="44"/>
      <c r="P51" s="16">
        <v>3</v>
      </c>
      <c r="Q51" s="46"/>
      <c r="R51" s="16">
        <v>4</v>
      </c>
      <c r="S51" s="46"/>
    </row>
    <row r="52" spans="1:19">
      <c r="A52" s="39"/>
      <c r="B52" s="9" t="s">
        <v>61</v>
      </c>
      <c r="C52" s="10" t="s">
        <v>93</v>
      </c>
      <c r="D52" s="39"/>
      <c r="E52" s="39"/>
      <c r="F52" s="16">
        <v>1</v>
      </c>
      <c r="G52" s="44"/>
      <c r="H52" s="16">
        <v>1</v>
      </c>
      <c r="I52" s="44"/>
      <c r="J52" s="16">
        <v>1</v>
      </c>
      <c r="K52" s="44"/>
      <c r="L52" s="16">
        <v>1</v>
      </c>
      <c r="M52" s="44"/>
      <c r="N52" s="16">
        <v>1</v>
      </c>
      <c r="O52" s="44"/>
      <c r="P52" s="16">
        <v>1</v>
      </c>
      <c r="Q52" s="46"/>
      <c r="R52" s="16">
        <v>1</v>
      </c>
      <c r="S52" s="46"/>
    </row>
    <row r="53" spans="1:19">
      <c r="A53" s="39"/>
      <c r="B53" s="9" t="s">
        <v>62</v>
      </c>
      <c r="C53" s="10" t="s">
        <v>65</v>
      </c>
      <c r="D53" s="39"/>
      <c r="E53" s="39"/>
      <c r="F53" s="16">
        <v>1</v>
      </c>
      <c r="G53" s="44"/>
      <c r="H53" s="16">
        <v>1</v>
      </c>
      <c r="I53" s="44"/>
      <c r="J53" s="16">
        <v>1</v>
      </c>
      <c r="K53" s="44"/>
      <c r="L53" s="16">
        <v>1</v>
      </c>
      <c r="M53" s="44"/>
      <c r="N53" s="16">
        <v>1</v>
      </c>
      <c r="O53" s="44"/>
      <c r="P53" s="16">
        <v>1</v>
      </c>
      <c r="Q53" s="46"/>
      <c r="R53" s="16">
        <v>1</v>
      </c>
      <c r="S53" s="46"/>
    </row>
    <row r="54" spans="1:19">
      <c r="A54" s="39"/>
      <c r="B54" s="9" t="s">
        <v>63</v>
      </c>
      <c r="C54" s="10" t="s">
        <v>66</v>
      </c>
      <c r="D54" s="39"/>
      <c r="E54" s="39"/>
      <c r="F54" s="16">
        <v>9</v>
      </c>
      <c r="G54" s="44"/>
      <c r="H54" s="16">
        <v>8</v>
      </c>
      <c r="I54" s="44"/>
      <c r="J54" s="16">
        <v>8</v>
      </c>
      <c r="K54" s="44"/>
      <c r="L54" s="16">
        <v>9</v>
      </c>
      <c r="M54" s="44"/>
      <c r="N54" s="16">
        <v>8</v>
      </c>
      <c r="O54" s="44"/>
      <c r="P54" s="16">
        <v>8</v>
      </c>
      <c r="Q54" s="46"/>
      <c r="R54" s="16">
        <v>8</v>
      </c>
      <c r="S54" s="46"/>
    </row>
    <row r="55" spans="1:19">
      <c r="A55" s="39"/>
      <c r="B55" s="9" t="s">
        <v>64</v>
      </c>
      <c r="C55" s="12" t="s">
        <v>67</v>
      </c>
      <c r="D55" s="39"/>
      <c r="E55" s="39"/>
      <c r="F55" s="16">
        <v>1</v>
      </c>
      <c r="G55" s="48"/>
      <c r="H55" s="16">
        <v>1</v>
      </c>
      <c r="I55" s="44"/>
      <c r="J55" s="16">
        <v>1</v>
      </c>
      <c r="K55" s="44"/>
      <c r="L55" s="16">
        <v>1</v>
      </c>
      <c r="M55" s="44"/>
      <c r="N55" s="16">
        <v>1</v>
      </c>
      <c r="O55" s="44"/>
      <c r="P55" s="16">
        <v>1</v>
      </c>
      <c r="Q55" s="46"/>
      <c r="R55" s="16">
        <v>1</v>
      </c>
      <c r="S55" s="46"/>
    </row>
    <row r="56" spans="1:19">
      <c r="A56" s="35" t="s">
        <v>51</v>
      </c>
      <c r="B56" s="2" t="s">
        <v>52</v>
      </c>
      <c r="C56" s="3" t="s">
        <v>53</v>
      </c>
      <c r="D56" s="35" t="s">
        <v>7</v>
      </c>
      <c r="E56" s="35" t="s">
        <v>73</v>
      </c>
      <c r="F56" s="15">
        <v>4</v>
      </c>
      <c r="G56" s="45">
        <v>6.7777777777777777</v>
      </c>
      <c r="H56" s="15">
        <v>3</v>
      </c>
      <c r="I56" s="45">
        <v>5.8888888888888893</v>
      </c>
      <c r="J56" s="15">
        <v>4</v>
      </c>
      <c r="K56" s="45">
        <v>6.2222222222222223</v>
      </c>
      <c r="L56" s="15">
        <v>3</v>
      </c>
      <c r="M56" s="45">
        <v>6.2222222222222223</v>
      </c>
      <c r="N56" s="15">
        <v>5</v>
      </c>
      <c r="O56" s="45">
        <v>6.333333333333333</v>
      </c>
      <c r="P56" s="15">
        <v>4</v>
      </c>
      <c r="Q56" s="45">
        <f t="shared" ref="Q56" si="10">SUM(P56:P64)/9</f>
        <v>6.333333333333333</v>
      </c>
      <c r="R56" s="15">
        <v>4</v>
      </c>
      <c r="S56" s="45">
        <f t="shared" ref="S56" si="11" xml:space="preserve"> SUM(R56:R64)/9</f>
        <v>6.1111111111111107</v>
      </c>
    </row>
    <row r="57" spans="1:19">
      <c r="A57" s="36"/>
      <c r="B57" s="2" t="s">
        <v>54</v>
      </c>
      <c r="C57" s="3" t="s">
        <v>55</v>
      </c>
      <c r="D57" s="36"/>
      <c r="E57" s="36"/>
      <c r="F57" s="15">
        <v>8</v>
      </c>
      <c r="G57" s="46"/>
      <c r="H57" s="15">
        <v>1</v>
      </c>
      <c r="I57" s="46"/>
      <c r="J57" s="15">
        <v>3</v>
      </c>
      <c r="K57" s="46"/>
      <c r="L57" s="15">
        <v>4</v>
      </c>
      <c r="M57" s="46"/>
      <c r="N57" s="15">
        <v>4</v>
      </c>
      <c r="O57" s="46"/>
      <c r="P57" s="15">
        <v>5</v>
      </c>
      <c r="Q57" s="46"/>
      <c r="R57" s="15">
        <v>3</v>
      </c>
      <c r="S57" s="46"/>
    </row>
    <row r="58" spans="1:19">
      <c r="A58" s="36"/>
      <c r="B58" s="2" t="s">
        <v>56</v>
      </c>
      <c r="C58" s="3" t="s">
        <v>57</v>
      </c>
      <c r="D58" s="36"/>
      <c r="E58" s="36"/>
      <c r="F58" s="15">
        <v>10</v>
      </c>
      <c r="G58" s="46"/>
      <c r="H58" s="15">
        <v>10</v>
      </c>
      <c r="I58" s="46"/>
      <c r="J58" s="15">
        <v>10</v>
      </c>
      <c r="K58" s="46"/>
      <c r="L58" s="15">
        <v>10</v>
      </c>
      <c r="M58" s="46"/>
      <c r="N58" s="15">
        <v>10</v>
      </c>
      <c r="O58" s="46"/>
      <c r="P58" s="15">
        <v>10</v>
      </c>
      <c r="Q58" s="46"/>
      <c r="R58" s="15">
        <v>10</v>
      </c>
      <c r="S58" s="46"/>
    </row>
    <row r="59" spans="1:19">
      <c r="A59" s="36"/>
      <c r="B59" s="2" t="s">
        <v>58</v>
      </c>
      <c r="C59" s="3" t="s">
        <v>59</v>
      </c>
      <c r="D59" s="36"/>
      <c r="E59" s="36"/>
      <c r="F59" s="15">
        <v>10</v>
      </c>
      <c r="G59" s="46"/>
      <c r="H59" s="15">
        <v>10</v>
      </c>
      <c r="I59" s="46"/>
      <c r="J59" s="15">
        <v>10</v>
      </c>
      <c r="K59" s="46"/>
      <c r="L59" s="15">
        <v>10</v>
      </c>
      <c r="M59" s="46"/>
      <c r="N59" s="15">
        <v>10</v>
      </c>
      <c r="O59" s="46"/>
      <c r="P59" s="15">
        <v>10</v>
      </c>
      <c r="Q59" s="46"/>
      <c r="R59" s="15">
        <v>10</v>
      </c>
      <c r="S59" s="46"/>
    </row>
    <row r="60" spans="1:19">
      <c r="A60" s="36"/>
      <c r="B60" s="2" t="s">
        <v>60</v>
      </c>
      <c r="C60" s="3" t="s">
        <v>94</v>
      </c>
      <c r="D60" s="36"/>
      <c r="E60" s="36"/>
      <c r="F60" s="15">
        <v>1</v>
      </c>
      <c r="G60" s="46"/>
      <c r="H60" s="15">
        <v>1</v>
      </c>
      <c r="I60" s="46"/>
      <c r="J60" s="15">
        <v>1</v>
      </c>
      <c r="K60" s="46"/>
      <c r="L60" s="15">
        <v>1</v>
      </c>
      <c r="M60" s="46"/>
      <c r="N60" s="15">
        <v>1</v>
      </c>
      <c r="O60" s="46"/>
      <c r="P60" s="15">
        <v>1</v>
      </c>
      <c r="Q60" s="46"/>
      <c r="R60" s="15">
        <v>1</v>
      </c>
      <c r="S60" s="46"/>
    </row>
    <row r="61" spans="1:19">
      <c r="A61" s="36"/>
      <c r="B61" s="2" t="s">
        <v>61</v>
      </c>
      <c r="C61" s="3" t="s">
        <v>93</v>
      </c>
      <c r="D61" s="36"/>
      <c r="E61" s="36"/>
      <c r="F61" s="15">
        <v>1</v>
      </c>
      <c r="G61" s="46"/>
      <c r="H61" s="15">
        <v>1</v>
      </c>
      <c r="I61" s="46"/>
      <c r="J61" s="15">
        <v>1</v>
      </c>
      <c r="K61" s="46"/>
      <c r="L61" s="15">
        <v>1</v>
      </c>
      <c r="M61" s="46"/>
      <c r="N61" s="15">
        <v>1</v>
      </c>
      <c r="O61" s="46"/>
      <c r="P61" s="15">
        <v>1</v>
      </c>
      <c r="Q61" s="46"/>
      <c r="R61" s="15">
        <v>1</v>
      </c>
      <c r="S61" s="46"/>
    </row>
    <row r="62" spans="1:19">
      <c r="A62" s="36"/>
      <c r="B62" s="2" t="s">
        <v>62</v>
      </c>
      <c r="C62" s="3" t="s">
        <v>65</v>
      </c>
      <c r="D62" s="36"/>
      <c r="E62" s="36"/>
      <c r="F62" s="15">
        <v>10</v>
      </c>
      <c r="G62" s="46"/>
      <c r="H62" s="15">
        <v>10</v>
      </c>
      <c r="I62" s="46"/>
      <c r="J62" s="15">
        <v>10</v>
      </c>
      <c r="K62" s="46"/>
      <c r="L62" s="15">
        <v>10</v>
      </c>
      <c r="M62" s="46"/>
      <c r="N62" s="15">
        <v>10</v>
      </c>
      <c r="O62" s="46"/>
      <c r="P62" s="15">
        <v>10</v>
      </c>
      <c r="Q62" s="46"/>
      <c r="R62" s="15">
        <v>10</v>
      </c>
      <c r="S62" s="46"/>
    </row>
    <row r="63" spans="1:19">
      <c r="A63" s="36"/>
      <c r="B63" s="2" t="s">
        <v>63</v>
      </c>
      <c r="C63" s="3" t="s">
        <v>66</v>
      </c>
      <c r="D63" s="36"/>
      <c r="E63" s="36"/>
      <c r="F63" s="15">
        <v>7</v>
      </c>
      <c r="G63" s="46"/>
      <c r="H63" s="15">
        <v>7</v>
      </c>
      <c r="I63" s="46"/>
      <c r="J63" s="15">
        <v>7</v>
      </c>
      <c r="K63" s="46"/>
      <c r="L63" s="15">
        <v>7</v>
      </c>
      <c r="M63" s="46"/>
      <c r="N63" s="15">
        <v>6</v>
      </c>
      <c r="O63" s="46"/>
      <c r="P63" s="15">
        <v>6</v>
      </c>
      <c r="Q63" s="46"/>
      <c r="R63" s="15">
        <v>6</v>
      </c>
      <c r="S63" s="46"/>
    </row>
    <row r="64" spans="1:19">
      <c r="A64" s="36"/>
      <c r="B64" s="2" t="s">
        <v>64</v>
      </c>
      <c r="C64" s="7" t="s">
        <v>67</v>
      </c>
      <c r="D64" s="36"/>
      <c r="E64" s="36"/>
      <c r="F64" s="15">
        <v>10</v>
      </c>
      <c r="G64" s="47"/>
      <c r="H64" s="15">
        <v>10</v>
      </c>
      <c r="I64" s="46"/>
      <c r="J64" s="15">
        <v>10</v>
      </c>
      <c r="K64" s="46"/>
      <c r="L64" s="15">
        <v>10</v>
      </c>
      <c r="M64" s="46"/>
      <c r="N64" s="15">
        <v>10</v>
      </c>
      <c r="O64" s="46"/>
      <c r="P64" s="15">
        <v>10</v>
      </c>
      <c r="Q64" s="46"/>
      <c r="R64" s="15">
        <v>10</v>
      </c>
      <c r="S64" s="46"/>
    </row>
    <row r="65" spans="1:19">
      <c r="A65" s="38" t="s">
        <v>51</v>
      </c>
      <c r="B65" s="9" t="s">
        <v>52</v>
      </c>
      <c r="C65" s="10" t="s">
        <v>53</v>
      </c>
      <c r="D65" s="38" t="s">
        <v>14</v>
      </c>
      <c r="E65" s="38" t="s">
        <v>15</v>
      </c>
      <c r="F65" s="16">
        <v>1</v>
      </c>
      <c r="G65" s="43">
        <v>3.4444444444444446</v>
      </c>
      <c r="H65" s="16">
        <v>1</v>
      </c>
      <c r="I65" s="43">
        <v>3.3333333333333335</v>
      </c>
      <c r="J65" s="16">
        <v>1</v>
      </c>
      <c r="K65" s="43">
        <v>3.6666666666666665</v>
      </c>
      <c r="L65" s="16">
        <v>1</v>
      </c>
      <c r="M65" s="43">
        <v>3.6666666666666665</v>
      </c>
      <c r="N65" s="16">
        <v>1</v>
      </c>
      <c r="O65" s="43">
        <v>3.4444444444444446</v>
      </c>
      <c r="P65" s="16">
        <v>3</v>
      </c>
      <c r="Q65" s="45">
        <f t="shared" ref="Q65" si="12">SUM(P65:P73)/9</f>
        <v>3.3333333333333335</v>
      </c>
      <c r="R65" s="16">
        <v>3</v>
      </c>
      <c r="S65" s="45">
        <f t="shared" ref="S65" si="13" xml:space="preserve"> SUM(R65:R73)/9</f>
        <v>3.3333333333333335</v>
      </c>
    </row>
    <row r="66" spans="1:19">
      <c r="A66" s="39"/>
      <c r="B66" s="9" t="s">
        <v>54</v>
      </c>
      <c r="C66" s="10" t="s">
        <v>55</v>
      </c>
      <c r="D66" s="39"/>
      <c r="E66" s="39"/>
      <c r="F66" s="16">
        <v>8</v>
      </c>
      <c r="G66" s="44"/>
      <c r="H66" s="16">
        <v>6</v>
      </c>
      <c r="I66" s="44"/>
      <c r="J66" s="16">
        <v>8</v>
      </c>
      <c r="K66" s="44"/>
      <c r="L66" s="16">
        <v>9</v>
      </c>
      <c r="M66" s="44"/>
      <c r="N66" s="16">
        <v>8</v>
      </c>
      <c r="O66" s="44"/>
      <c r="P66" s="16">
        <v>8</v>
      </c>
      <c r="Q66" s="46"/>
      <c r="R66" s="16">
        <v>6</v>
      </c>
      <c r="S66" s="46"/>
    </row>
    <row r="67" spans="1:19">
      <c r="A67" s="39"/>
      <c r="B67" s="9" t="s">
        <v>56</v>
      </c>
      <c r="C67" s="10" t="s">
        <v>57</v>
      </c>
      <c r="D67" s="39"/>
      <c r="E67" s="39"/>
      <c r="F67" s="16">
        <v>2</v>
      </c>
      <c r="G67" s="44"/>
      <c r="H67" s="16">
        <v>1</v>
      </c>
      <c r="I67" s="44"/>
      <c r="J67" s="16">
        <v>1</v>
      </c>
      <c r="K67" s="44"/>
      <c r="L67" s="16">
        <v>1</v>
      </c>
      <c r="M67" s="44"/>
      <c r="N67" s="16">
        <v>1</v>
      </c>
      <c r="O67" s="44"/>
      <c r="P67" s="16">
        <v>1</v>
      </c>
      <c r="Q67" s="46"/>
      <c r="R67" s="16">
        <v>2</v>
      </c>
      <c r="S67" s="46"/>
    </row>
    <row r="68" spans="1:19">
      <c r="A68" s="39"/>
      <c r="B68" s="9" t="s">
        <v>58</v>
      </c>
      <c r="C68" s="10" t="s">
        <v>59</v>
      </c>
      <c r="D68" s="39"/>
      <c r="E68" s="39"/>
      <c r="F68" s="16">
        <v>3</v>
      </c>
      <c r="G68" s="44"/>
      <c r="H68" s="16">
        <v>4</v>
      </c>
      <c r="I68" s="44"/>
      <c r="J68" s="16">
        <v>4</v>
      </c>
      <c r="K68" s="44"/>
      <c r="L68" s="16">
        <v>3</v>
      </c>
      <c r="M68" s="44"/>
      <c r="N68" s="16">
        <v>4</v>
      </c>
      <c r="O68" s="44"/>
      <c r="P68" s="16">
        <v>4</v>
      </c>
      <c r="Q68" s="46"/>
      <c r="R68" s="16">
        <v>4</v>
      </c>
      <c r="S68" s="46"/>
    </row>
    <row r="69" spans="1:19">
      <c r="A69" s="39"/>
      <c r="B69" s="9" t="s">
        <v>60</v>
      </c>
      <c r="C69" s="10" t="s">
        <v>94</v>
      </c>
      <c r="D69" s="39"/>
      <c r="E69" s="39"/>
      <c r="F69" s="16">
        <v>1</v>
      </c>
      <c r="G69" s="44"/>
      <c r="H69" s="16">
        <v>1</v>
      </c>
      <c r="I69" s="44"/>
      <c r="J69" s="16">
        <v>1</v>
      </c>
      <c r="K69" s="44"/>
      <c r="L69" s="16">
        <v>1</v>
      </c>
      <c r="M69" s="44"/>
      <c r="N69" s="16">
        <v>1</v>
      </c>
      <c r="O69" s="44"/>
      <c r="P69" s="16">
        <v>1</v>
      </c>
      <c r="Q69" s="46"/>
      <c r="R69" s="16">
        <v>1</v>
      </c>
      <c r="S69" s="46"/>
    </row>
    <row r="70" spans="1:19">
      <c r="A70" s="39"/>
      <c r="B70" s="9" t="s">
        <v>61</v>
      </c>
      <c r="C70" s="10" t="s">
        <v>93</v>
      </c>
      <c r="D70" s="39"/>
      <c r="E70" s="39"/>
      <c r="F70" s="16">
        <v>1</v>
      </c>
      <c r="G70" s="44"/>
      <c r="H70" s="16">
        <v>2</v>
      </c>
      <c r="I70" s="44"/>
      <c r="J70" s="16">
        <v>2</v>
      </c>
      <c r="K70" s="44"/>
      <c r="L70" s="16">
        <v>2</v>
      </c>
      <c r="M70" s="44"/>
      <c r="N70" s="16">
        <v>2</v>
      </c>
      <c r="O70" s="44"/>
      <c r="P70" s="16">
        <v>2</v>
      </c>
      <c r="Q70" s="46"/>
      <c r="R70" s="16">
        <v>2</v>
      </c>
      <c r="S70" s="46"/>
    </row>
    <row r="71" spans="1:19">
      <c r="A71" s="39"/>
      <c r="B71" s="9" t="s">
        <v>62</v>
      </c>
      <c r="C71" s="10" t="s">
        <v>65</v>
      </c>
      <c r="D71" s="39"/>
      <c r="E71" s="39"/>
      <c r="F71" s="16">
        <v>3</v>
      </c>
      <c r="G71" s="44"/>
      <c r="H71" s="16">
        <v>3</v>
      </c>
      <c r="I71" s="44"/>
      <c r="J71" s="16">
        <v>4</v>
      </c>
      <c r="K71" s="44"/>
      <c r="L71" s="16">
        <v>4</v>
      </c>
      <c r="M71" s="44"/>
      <c r="N71" s="16">
        <v>3</v>
      </c>
      <c r="O71" s="44"/>
      <c r="P71" s="16">
        <v>3</v>
      </c>
      <c r="Q71" s="46"/>
      <c r="R71" s="16">
        <v>3</v>
      </c>
      <c r="S71" s="46"/>
    </row>
    <row r="72" spans="1:19">
      <c r="A72" s="39"/>
      <c r="B72" s="9" t="s">
        <v>63</v>
      </c>
      <c r="C72" s="10" t="s">
        <v>66</v>
      </c>
      <c r="D72" s="39"/>
      <c r="E72" s="39"/>
      <c r="F72" s="16">
        <v>10</v>
      </c>
      <c r="G72" s="44"/>
      <c r="H72" s="16">
        <v>10</v>
      </c>
      <c r="I72" s="44"/>
      <c r="J72" s="16">
        <v>10</v>
      </c>
      <c r="K72" s="44"/>
      <c r="L72" s="16">
        <v>10</v>
      </c>
      <c r="M72" s="44"/>
      <c r="N72" s="16">
        <v>9</v>
      </c>
      <c r="O72" s="44"/>
      <c r="P72" s="16">
        <v>7</v>
      </c>
      <c r="Q72" s="46"/>
      <c r="R72" s="16">
        <v>7</v>
      </c>
      <c r="S72" s="46"/>
    </row>
    <row r="73" spans="1:19">
      <c r="A73" s="39"/>
      <c r="B73" s="9" t="s">
        <v>64</v>
      </c>
      <c r="C73" s="12" t="s">
        <v>67</v>
      </c>
      <c r="D73" s="39"/>
      <c r="E73" s="39"/>
      <c r="F73" s="16">
        <v>2</v>
      </c>
      <c r="G73" s="48"/>
      <c r="H73" s="16">
        <v>2</v>
      </c>
      <c r="I73" s="44"/>
      <c r="J73" s="16">
        <v>2</v>
      </c>
      <c r="K73" s="44"/>
      <c r="L73" s="16">
        <v>2</v>
      </c>
      <c r="M73" s="44"/>
      <c r="N73" s="16">
        <v>2</v>
      </c>
      <c r="O73" s="44"/>
      <c r="P73" s="16">
        <v>1</v>
      </c>
      <c r="Q73" s="46"/>
      <c r="R73" s="16">
        <v>2</v>
      </c>
      <c r="S73" s="46"/>
    </row>
    <row r="74" spans="1:19">
      <c r="A74" s="35" t="s">
        <v>51</v>
      </c>
      <c r="B74" s="2" t="s">
        <v>52</v>
      </c>
      <c r="C74" s="3" t="s">
        <v>53</v>
      </c>
      <c r="D74" s="35" t="s">
        <v>14</v>
      </c>
      <c r="E74" s="35" t="s">
        <v>16</v>
      </c>
      <c r="F74" s="15">
        <v>1</v>
      </c>
      <c r="G74" s="45">
        <v>6.7777777777777777</v>
      </c>
      <c r="H74" s="15">
        <v>1</v>
      </c>
      <c r="I74" s="45">
        <v>6.2222222222222223</v>
      </c>
      <c r="J74" s="15">
        <v>1</v>
      </c>
      <c r="K74" s="45">
        <v>6.2222222222222223</v>
      </c>
      <c r="L74" s="15">
        <v>1</v>
      </c>
      <c r="M74" s="45">
        <v>6.2222222222222223</v>
      </c>
      <c r="N74" s="15">
        <v>1</v>
      </c>
      <c r="O74" s="45">
        <v>6.333333333333333</v>
      </c>
      <c r="P74" s="15">
        <v>1</v>
      </c>
      <c r="Q74" s="45">
        <f t="shared" ref="Q74" si="14">SUM(P74:P82)/9</f>
        <v>6.333333333333333</v>
      </c>
      <c r="R74" s="15">
        <v>1</v>
      </c>
      <c r="S74" s="45">
        <f t="shared" ref="S74" si="15" xml:space="preserve"> SUM(R74:R82)/9</f>
        <v>6.333333333333333</v>
      </c>
    </row>
    <row r="75" spans="1:19">
      <c r="A75" s="36"/>
      <c r="B75" s="2" t="s">
        <v>54</v>
      </c>
      <c r="C75" s="3" t="s">
        <v>55</v>
      </c>
      <c r="D75" s="36"/>
      <c r="E75" s="36"/>
      <c r="F75" s="15">
        <v>7</v>
      </c>
      <c r="G75" s="46"/>
      <c r="H75" s="15">
        <v>6</v>
      </c>
      <c r="I75" s="46"/>
      <c r="J75" s="15">
        <v>7</v>
      </c>
      <c r="K75" s="46"/>
      <c r="L75" s="15">
        <v>7</v>
      </c>
      <c r="M75" s="46"/>
      <c r="N75" s="15">
        <v>5</v>
      </c>
      <c r="O75" s="46"/>
      <c r="P75" s="15">
        <v>6</v>
      </c>
      <c r="Q75" s="46"/>
      <c r="R75" s="15">
        <v>4</v>
      </c>
      <c r="S75" s="46"/>
    </row>
    <row r="76" spans="1:19">
      <c r="A76" s="36"/>
      <c r="B76" s="2" t="s">
        <v>56</v>
      </c>
      <c r="C76" s="3" t="s">
        <v>57</v>
      </c>
      <c r="D76" s="36"/>
      <c r="E76" s="36"/>
      <c r="F76" s="15">
        <v>1</v>
      </c>
      <c r="G76" s="46"/>
      <c r="H76" s="15">
        <v>2</v>
      </c>
      <c r="I76" s="46"/>
      <c r="J76" s="15">
        <v>2</v>
      </c>
      <c r="K76" s="46"/>
      <c r="L76" s="15">
        <v>2</v>
      </c>
      <c r="M76" s="46"/>
      <c r="N76" s="15">
        <v>5</v>
      </c>
      <c r="O76" s="46"/>
      <c r="P76" s="15">
        <v>3</v>
      </c>
      <c r="Q76" s="46"/>
      <c r="R76" s="15">
        <v>4</v>
      </c>
      <c r="S76" s="46"/>
    </row>
    <row r="77" spans="1:19">
      <c r="A77" s="36"/>
      <c r="B77" s="2" t="s">
        <v>58</v>
      </c>
      <c r="C77" s="3" t="s">
        <v>59</v>
      </c>
      <c r="D77" s="36"/>
      <c r="E77" s="36"/>
      <c r="F77" s="15">
        <v>10</v>
      </c>
      <c r="G77" s="46"/>
      <c r="H77" s="15">
        <v>10</v>
      </c>
      <c r="I77" s="46"/>
      <c r="J77" s="15">
        <v>10</v>
      </c>
      <c r="K77" s="46"/>
      <c r="L77" s="15">
        <v>10</v>
      </c>
      <c r="M77" s="46"/>
      <c r="N77" s="15">
        <v>10</v>
      </c>
      <c r="O77" s="46"/>
      <c r="P77" s="15">
        <v>10</v>
      </c>
      <c r="Q77" s="46"/>
      <c r="R77" s="15">
        <v>10</v>
      </c>
      <c r="S77" s="46"/>
    </row>
    <row r="78" spans="1:19">
      <c r="A78" s="36"/>
      <c r="B78" s="2" t="s">
        <v>60</v>
      </c>
      <c r="C78" s="3" t="s">
        <v>94</v>
      </c>
      <c r="D78" s="36"/>
      <c r="E78" s="36"/>
      <c r="F78" s="15">
        <v>10</v>
      </c>
      <c r="G78" s="46"/>
      <c r="H78" s="15">
        <v>5</v>
      </c>
      <c r="I78" s="46"/>
      <c r="J78" s="15">
        <v>4</v>
      </c>
      <c r="K78" s="46"/>
      <c r="L78" s="15">
        <v>4</v>
      </c>
      <c r="M78" s="46"/>
      <c r="N78" s="15">
        <v>3</v>
      </c>
      <c r="O78" s="46"/>
      <c r="P78" s="15">
        <v>2</v>
      </c>
      <c r="Q78" s="46"/>
      <c r="R78" s="15">
        <v>3</v>
      </c>
      <c r="S78" s="46"/>
    </row>
    <row r="79" spans="1:19">
      <c r="A79" s="36"/>
      <c r="B79" s="2" t="s">
        <v>61</v>
      </c>
      <c r="C79" s="3" t="s">
        <v>93</v>
      </c>
      <c r="D79" s="36"/>
      <c r="E79" s="36"/>
      <c r="F79" s="15">
        <v>10</v>
      </c>
      <c r="G79" s="46"/>
      <c r="H79" s="15">
        <v>10</v>
      </c>
      <c r="I79" s="46"/>
      <c r="J79" s="15">
        <v>9</v>
      </c>
      <c r="K79" s="46"/>
      <c r="L79" s="15">
        <v>9</v>
      </c>
      <c r="M79" s="46"/>
      <c r="N79" s="15">
        <v>9</v>
      </c>
      <c r="O79" s="46"/>
      <c r="P79" s="15">
        <v>9</v>
      </c>
      <c r="Q79" s="46"/>
      <c r="R79" s="15">
        <v>9</v>
      </c>
      <c r="S79" s="46"/>
    </row>
    <row r="80" spans="1:19">
      <c r="A80" s="36"/>
      <c r="B80" s="2" t="s">
        <v>62</v>
      </c>
      <c r="C80" s="3" t="s">
        <v>65</v>
      </c>
      <c r="D80" s="36"/>
      <c r="E80" s="36"/>
      <c r="F80" s="15">
        <v>10</v>
      </c>
      <c r="G80" s="46"/>
      <c r="H80" s="15">
        <v>10</v>
      </c>
      <c r="I80" s="46"/>
      <c r="J80" s="15">
        <v>10</v>
      </c>
      <c r="K80" s="46"/>
      <c r="L80" s="15">
        <v>10</v>
      </c>
      <c r="M80" s="46"/>
      <c r="N80" s="15">
        <v>10</v>
      </c>
      <c r="O80" s="46"/>
      <c r="P80" s="15">
        <v>10</v>
      </c>
      <c r="Q80" s="46"/>
      <c r="R80" s="15">
        <v>10</v>
      </c>
      <c r="S80" s="46"/>
    </row>
    <row r="81" spans="1:19">
      <c r="A81" s="36"/>
      <c r="B81" s="2" t="s">
        <v>63</v>
      </c>
      <c r="C81" s="3" t="s">
        <v>66</v>
      </c>
      <c r="D81" s="36"/>
      <c r="E81" s="36"/>
      <c r="F81" s="15">
        <v>10</v>
      </c>
      <c r="G81" s="46"/>
      <c r="H81" s="15">
        <v>10</v>
      </c>
      <c r="I81" s="46"/>
      <c r="J81" s="15">
        <v>10</v>
      </c>
      <c r="K81" s="46"/>
      <c r="L81" s="15">
        <v>10</v>
      </c>
      <c r="M81" s="46"/>
      <c r="N81" s="15">
        <v>10</v>
      </c>
      <c r="O81" s="46"/>
      <c r="P81" s="15">
        <v>10</v>
      </c>
      <c r="Q81" s="46"/>
      <c r="R81" s="15">
        <v>10</v>
      </c>
      <c r="S81" s="46"/>
    </row>
    <row r="82" spans="1:19">
      <c r="A82" s="36"/>
      <c r="B82" s="2" t="s">
        <v>64</v>
      </c>
      <c r="C82" s="7" t="s">
        <v>67</v>
      </c>
      <c r="D82" s="36"/>
      <c r="E82" s="36"/>
      <c r="F82" s="15">
        <v>2</v>
      </c>
      <c r="G82" s="47"/>
      <c r="H82" s="15">
        <v>2</v>
      </c>
      <c r="I82" s="46"/>
      <c r="J82" s="15">
        <v>3</v>
      </c>
      <c r="K82" s="46"/>
      <c r="L82" s="15">
        <v>3</v>
      </c>
      <c r="M82" s="46"/>
      <c r="N82" s="15">
        <v>4</v>
      </c>
      <c r="O82" s="46"/>
      <c r="P82" s="15">
        <v>6</v>
      </c>
      <c r="Q82" s="46"/>
      <c r="R82" s="15">
        <v>6</v>
      </c>
      <c r="S82" s="46"/>
    </row>
    <row r="83" spans="1:19">
      <c r="A83" s="38" t="s">
        <v>51</v>
      </c>
      <c r="B83" s="9" t="s">
        <v>52</v>
      </c>
      <c r="C83" s="10" t="s">
        <v>53</v>
      </c>
      <c r="D83" s="38" t="s">
        <v>14</v>
      </c>
      <c r="E83" s="38" t="s">
        <v>17</v>
      </c>
      <c r="F83" s="16">
        <v>1</v>
      </c>
      <c r="G83" s="43">
        <v>4.333333333333333</v>
      </c>
      <c r="H83" s="16">
        <v>2</v>
      </c>
      <c r="I83" s="43">
        <v>4.2222222222222223</v>
      </c>
      <c r="J83" s="16">
        <v>1</v>
      </c>
      <c r="K83" s="43">
        <v>4.666666666666667</v>
      </c>
      <c r="L83" s="16">
        <v>2</v>
      </c>
      <c r="M83" s="43">
        <v>4.333333333333333</v>
      </c>
      <c r="N83" s="16">
        <v>1</v>
      </c>
      <c r="O83" s="43">
        <v>4.8888888888888893</v>
      </c>
      <c r="P83" s="16">
        <v>1</v>
      </c>
      <c r="Q83" s="45">
        <f t="shared" ref="Q83" si="16">SUM(P83:P91)/9</f>
        <v>5.333333333333333</v>
      </c>
      <c r="R83" s="16">
        <v>1</v>
      </c>
      <c r="S83" s="45">
        <f t="shared" ref="S83" si="17" xml:space="preserve"> SUM(R83:R91)/9</f>
        <v>4.5555555555555554</v>
      </c>
    </row>
    <row r="84" spans="1:19">
      <c r="A84" s="39"/>
      <c r="B84" s="9" t="s">
        <v>54</v>
      </c>
      <c r="C84" s="10" t="s">
        <v>55</v>
      </c>
      <c r="D84" s="39"/>
      <c r="E84" s="39"/>
      <c r="F84" s="16">
        <v>9</v>
      </c>
      <c r="G84" s="44"/>
      <c r="H84" s="16">
        <v>6</v>
      </c>
      <c r="I84" s="44"/>
      <c r="J84" s="16">
        <v>7</v>
      </c>
      <c r="K84" s="44"/>
      <c r="L84" s="16">
        <v>4</v>
      </c>
      <c r="M84" s="44"/>
      <c r="N84" s="16">
        <v>2</v>
      </c>
      <c r="O84" s="44"/>
      <c r="P84" s="16">
        <v>6</v>
      </c>
      <c r="Q84" s="46"/>
      <c r="R84" s="16">
        <v>3</v>
      </c>
      <c r="S84" s="46"/>
    </row>
    <row r="85" spans="1:19">
      <c r="A85" s="39"/>
      <c r="B85" s="9" t="s">
        <v>56</v>
      </c>
      <c r="C85" s="10" t="s">
        <v>57</v>
      </c>
      <c r="D85" s="39"/>
      <c r="E85" s="39"/>
      <c r="F85" s="16">
        <v>1</v>
      </c>
      <c r="G85" s="44"/>
      <c r="H85" s="16">
        <v>1</v>
      </c>
      <c r="I85" s="44"/>
      <c r="J85" s="16">
        <v>1</v>
      </c>
      <c r="K85" s="44"/>
      <c r="L85" s="16">
        <v>1</v>
      </c>
      <c r="M85" s="44"/>
      <c r="N85" s="16">
        <v>1</v>
      </c>
      <c r="O85" s="44"/>
      <c r="P85" s="16">
        <v>1</v>
      </c>
      <c r="Q85" s="46"/>
      <c r="R85" s="16">
        <v>1</v>
      </c>
      <c r="S85" s="46"/>
    </row>
    <row r="86" spans="1:19">
      <c r="A86" s="39"/>
      <c r="B86" s="9" t="s">
        <v>58</v>
      </c>
      <c r="C86" s="10" t="s">
        <v>59</v>
      </c>
      <c r="D86" s="39"/>
      <c r="E86" s="39"/>
      <c r="F86" s="16">
        <v>5</v>
      </c>
      <c r="G86" s="44"/>
      <c r="H86" s="16">
        <v>5</v>
      </c>
      <c r="I86" s="44"/>
      <c r="J86" s="16">
        <v>7</v>
      </c>
      <c r="K86" s="44"/>
      <c r="L86" s="16">
        <v>6</v>
      </c>
      <c r="M86" s="44"/>
      <c r="N86" s="16">
        <v>10</v>
      </c>
      <c r="O86" s="44"/>
      <c r="P86" s="16">
        <v>10</v>
      </c>
      <c r="Q86" s="46"/>
      <c r="R86" s="16">
        <v>8</v>
      </c>
      <c r="S86" s="46"/>
    </row>
    <row r="87" spans="1:19">
      <c r="A87" s="39"/>
      <c r="B87" s="9" t="s">
        <v>60</v>
      </c>
      <c r="C87" s="10" t="s">
        <v>94</v>
      </c>
      <c r="D87" s="39"/>
      <c r="E87" s="39"/>
      <c r="F87" s="16">
        <v>1</v>
      </c>
      <c r="G87" s="44"/>
      <c r="H87" s="16">
        <v>2</v>
      </c>
      <c r="I87" s="44"/>
      <c r="J87" s="16">
        <v>2</v>
      </c>
      <c r="K87" s="44"/>
      <c r="L87" s="16">
        <v>2</v>
      </c>
      <c r="M87" s="44"/>
      <c r="N87" s="16">
        <v>3</v>
      </c>
      <c r="O87" s="44"/>
      <c r="P87" s="16">
        <v>3</v>
      </c>
      <c r="Q87" s="46"/>
      <c r="R87" s="16">
        <v>3</v>
      </c>
      <c r="S87" s="46"/>
    </row>
    <row r="88" spans="1:19">
      <c r="A88" s="39"/>
      <c r="B88" s="9" t="s">
        <v>61</v>
      </c>
      <c r="C88" s="10" t="s">
        <v>93</v>
      </c>
      <c r="D88" s="39"/>
      <c r="E88" s="39"/>
      <c r="F88" s="16">
        <v>6</v>
      </c>
      <c r="G88" s="44"/>
      <c r="H88" s="16">
        <v>5</v>
      </c>
      <c r="I88" s="44"/>
      <c r="J88" s="16">
        <v>7</v>
      </c>
      <c r="K88" s="44"/>
      <c r="L88" s="16">
        <v>6</v>
      </c>
      <c r="M88" s="44"/>
      <c r="N88" s="16">
        <v>9</v>
      </c>
      <c r="O88" s="44"/>
      <c r="P88" s="16">
        <v>8</v>
      </c>
      <c r="Q88" s="46"/>
      <c r="R88" s="16">
        <v>6</v>
      </c>
      <c r="S88" s="46"/>
    </row>
    <row r="89" spans="1:19">
      <c r="A89" s="39"/>
      <c r="B89" s="9" t="s">
        <v>62</v>
      </c>
      <c r="C89" s="10" t="s">
        <v>65</v>
      </c>
      <c r="D89" s="39"/>
      <c r="E89" s="39"/>
      <c r="F89" s="16">
        <v>5</v>
      </c>
      <c r="G89" s="44"/>
      <c r="H89" s="16">
        <v>6</v>
      </c>
      <c r="I89" s="44"/>
      <c r="J89" s="16">
        <v>6</v>
      </c>
      <c r="K89" s="44"/>
      <c r="L89" s="16">
        <v>6</v>
      </c>
      <c r="M89" s="44"/>
      <c r="N89" s="16">
        <v>7</v>
      </c>
      <c r="O89" s="44"/>
      <c r="P89" s="16">
        <v>7</v>
      </c>
      <c r="Q89" s="46"/>
      <c r="R89" s="16">
        <v>7</v>
      </c>
      <c r="S89" s="46"/>
    </row>
    <row r="90" spans="1:19">
      <c r="A90" s="39"/>
      <c r="B90" s="9" t="s">
        <v>63</v>
      </c>
      <c r="C90" s="10" t="s">
        <v>66</v>
      </c>
      <c r="D90" s="39"/>
      <c r="E90" s="39"/>
      <c r="F90" s="16">
        <v>10</v>
      </c>
      <c r="G90" s="44"/>
      <c r="H90" s="16">
        <v>10</v>
      </c>
      <c r="I90" s="44"/>
      <c r="J90" s="16">
        <v>10</v>
      </c>
      <c r="K90" s="44"/>
      <c r="L90" s="16">
        <v>10</v>
      </c>
      <c r="M90" s="44"/>
      <c r="N90" s="16">
        <v>10</v>
      </c>
      <c r="O90" s="44"/>
      <c r="P90" s="16">
        <v>10</v>
      </c>
      <c r="Q90" s="46"/>
      <c r="R90" s="16">
        <v>10</v>
      </c>
      <c r="S90" s="46"/>
    </row>
    <row r="91" spans="1:19">
      <c r="A91" s="39"/>
      <c r="B91" s="9" t="s">
        <v>64</v>
      </c>
      <c r="C91" s="12" t="s">
        <v>67</v>
      </c>
      <c r="D91" s="39"/>
      <c r="E91" s="39"/>
      <c r="F91" s="16">
        <v>1</v>
      </c>
      <c r="G91" s="48"/>
      <c r="H91" s="16">
        <v>1</v>
      </c>
      <c r="I91" s="44"/>
      <c r="J91" s="16">
        <v>1</v>
      </c>
      <c r="K91" s="44"/>
      <c r="L91" s="16">
        <v>2</v>
      </c>
      <c r="M91" s="44"/>
      <c r="N91" s="16">
        <v>1</v>
      </c>
      <c r="O91" s="44"/>
      <c r="P91" s="16">
        <v>2</v>
      </c>
      <c r="Q91" s="46"/>
      <c r="R91" s="16">
        <v>2</v>
      </c>
      <c r="S91" s="46"/>
    </row>
    <row r="92" spans="1:19">
      <c r="A92" s="35" t="s">
        <v>51</v>
      </c>
      <c r="B92" s="2" t="s">
        <v>52</v>
      </c>
      <c r="C92" s="3" t="s">
        <v>53</v>
      </c>
      <c r="D92" s="35" t="s">
        <v>14</v>
      </c>
      <c r="E92" s="35" t="s">
        <v>18</v>
      </c>
      <c r="F92" s="15">
        <v>3</v>
      </c>
      <c r="G92" s="45">
        <v>6.5555555555555554</v>
      </c>
      <c r="H92" s="15">
        <v>3</v>
      </c>
      <c r="I92" s="45">
        <v>6.333333333333333</v>
      </c>
      <c r="J92" s="15">
        <v>3</v>
      </c>
      <c r="K92" s="45">
        <v>6.5555555555555554</v>
      </c>
      <c r="L92" s="15">
        <v>3</v>
      </c>
      <c r="M92" s="45">
        <v>6.5555555555555554</v>
      </c>
      <c r="N92" s="15">
        <v>3</v>
      </c>
      <c r="O92" s="45">
        <v>6.7777777777777777</v>
      </c>
      <c r="P92" s="15">
        <v>2</v>
      </c>
      <c r="Q92" s="45">
        <f t="shared" ref="Q92" si="18">SUM(P92:P100)/9</f>
        <v>7.333333333333333</v>
      </c>
      <c r="R92" s="15">
        <v>2</v>
      </c>
      <c r="S92" s="45">
        <f t="shared" ref="S92" si="19" xml:space="preserve"> SUM(R92:R100)/9</f>
        <v>7.2222222222222223</v>
      </c>
    </row>
    <row r="93" spans="1:19">
      <c r="A93" s="36"/>
      <c r="B93" s="2" t="s">
        <v>54</v>
      </c>
      <c r="C93" s="3" t="s">
        <v>55</v>
      </c>
      <c r="D93" s="36"/>
      <c r="E93" s="36"/>
      <c r="F93" s="15">
        <v>10</v>
      </c>
      <c r="G93" s="46"/>
      <c r="H93" s="15">
        <v>8</v>
      </c>
      <c r="I93" s="46"/>
      <c r="J93" s="15">
        <v>9</v>
      </c>
      <c r="K93" s="46"/>
      <c r="L93" s="15">
        <v>9</v>
      </c>
      <c r="M93" s="46"/>
      <c r="N93" s="15">
        <v>9</v>
      </c>
      <c r="O93" s="46"/>
      <c r="P93" s="15">
        <v>10</v>
      </c>
      <c r="Q93" s="46"/>
      <c r="R93" s="15">
        <v>9</v>
      </c>
      <c r="S93" s="46"/>
    </row>
    <row r="94" spans="1:19">
      <c r="A94" s="36"/>
      <c r="B94" s="2" t="s">
        <v>56</v>
      </c>
      <c r="C94" s="3" t="s">
        <v>57</v>
      </c>
      <c r="D94" s="36"/>
      <c r="E94" s="36"/>
      <c r="F94" s="15">
        <v>3</v>
      </c>
      <c r="G94" s="46"/>
      <c r="H94" s="15">
        <v>3</v>
      </c>
      <c r="I94" s="46"/>
      <c r="J94" s="15">
        <v>3</v>
      </c>
      <c r="K94" s="46"/>
      <c r="L94" s="15">
        <v>3</v>
      </c>
      <c r="M94" s="46"/>
      <c r="N94" s="15">
        <v>4</v>
      </c>
      <c r="O94" s="46"/>
      <c r="P94" s="15">
        <v>6</v>
      </c>
      <c r="Q94" s="46"/>
      <c r="R94" s="15">
        <v>6</v>
      </c>
      <c r="S94" s="46"/>
    </row>
    <row r="95" spans="1:19">
      <c r="A95" s="36"/>
      <c r="B95" s="2" t="s">
        <v>58</v>
      </c>
      <c r="C95" s="3" t="s">
        <v>59</v>
      </c>
      <c r="D95" s="36"/>
      <c r="E95" s="36"/>
      <c r="F95" s="15">
        <v>10</v>
      </c>
      <c r="G95" s="46"/>
      <c r="H95" s="15">
        <v>10</v>
      </c>
      <c r="I95" s="46"/>
      <c r="J95" s="15">
        <v>10</v>
      </c>
      <c r="K95" s="46"/>
      <c r="L95" s="15">
        <v>10</v>
      </c>
      <c r="M95" s="46"/>
      <c r="N95" s="15">
        <v>10</v>
      </c>
      <c r="O95" s="46"/>
      <c r="P95" s="15">
        <v>10</v>
      </c>
      <c r="Q95" s="46"/>
      <c r="R95" s="15">
        <v>10</v>
      </c>
      <c r="S95" s="46"/>
    </row>
    <row r="96" spans="1:19">
      <c r="A96" s="36"/>
      <c r="B96" s="2" t="s">
        <v>60</v>
      </c>
      <c r="C96" s="3" t="s">
        <v>94</v>
      </c>
      <c r="D96" s="36"/>
      <c r="E96" s="36"/>
      <c r="F96" s="15">
        <v>2</v>
      </c>
      <c r="G96" s="46"/>
      <c r="H96" s="15">
        <v>1</v>
      </c>
      <c r="I96" s="46"/>
      <c r="J96" s="15">
        <v>1</v>
      </c>
      <c r="K96" s="46"/>
      <c r="L96" s="15">
        <v>1</v>
      </c>
      <c r="M96" s="46"/>
      <c r="N96" s="15">
        <v>1</v>
      </c>
      <c r="O96" s="46"/>
      <c r="P96" s="15">
        <v>1</v>
      </c>
      <c r="Q96" s="46"/>
      <c r="R96" s="15">
        <v>1</v>
      </c>
      <c r="S96" s="46"/>
    </row>
    <row r="97" spans="1:19">
      <c r="A97" s="36"/>
      <c r="B97" s="2" t="s">
        <v>61</v>
      </c>
      <c r="C97" s="3" t="s">
        <v>93</v>
      </c>
      <c r="D97" s="36"/>
      <c r="E97" s="36"/>
      <c r="F97" s="15">
        <v>10</v>
      </c>
      <c r="G97" s="46"/>
      <c r="H97" s="15">
        <v>10</v>
      </c>
      <c r="I97" s="46"/>
      <c r="J97" s="15">
        <v>10</v>
      </c>
      <c r="K97" s="46"/>
      <c r="L97" s="15">
        <v>10</v>
      </c>
      <c r="M97" s="46"/>
      <c r="N97" s="15">
        <v>10</v>
      </c>
      <c r="O97" s="46"/>
      <c r="P97" s="15">
        <v>10</v>
      </c>
      <c r="Q97" s="46"/>
      <c r="R97" s="15">
        <v>10</v>
      </c>
      <c r="S97" s="46"/>
    </row>
    <row r="98" spans="1:19">
      <c r="A98" s="36"/>
      <c r="B98" s="2" t="s">
        <v>62</v>
      </c>
      <c r="C98" s="3" t="s">
        <v>65</v>
      </c>
      <c r="D98" s="36"/>
      <c r="E98" s="36"/>
      <c r="F98" s="15">
        <v>10</v>
      </c>
      <c r="G98" s="46"/>
      <c r="H98" s="15">
        <v>10</v>
      </c>
      <c r="I98" s="46"/>
      <c r="J98" s="15">
        <v>10</v>
      </c>
      <c r="K98" s="46"/>
      <c r="L98" s="15">
        <v>10</v>
      </c>
      <c r="M98" s="46"/>
      <c r="N98" s="15">
        <v>10</v>
      </c>
      <c r="O98" s="46"/>
      <c r="P98" s="15">
        <v>10</v>
      </c>
      <c r="Q98" s="46"/>
      <c r="R98" s="15">
        <v>10</v>
      </c>
      <c r="S98" s="46"/>
    </row>
    <row r="99" spans="1:19">
      <c r="A99" s="36"/>
      <c r="B99" s="2" t="s">
        <v>63</v>
      </c>
      <c r="C99" s="3" t="s">
        <v>66</v>
      </c>
      <c r="D99" s="36"/>
      <c r="E99" s="36"/>
      <c r="F99" s="15">
        <v>8</v>
      </c>
      <c r="G99" s="46"/>
      <c r="H99" s="15">
        <v>9</v>
      </c>
      <c r="I99" s="46"/>
      <c r="J99" s="15">
        <v>9</v>
      </c>
      <c r="K99" s="46"/>
      <c r="L99" s="15">
        <v>9</v>
      </c>
      <c r="M99" s="46"/>
      <c r="N99" s="15">
        <v>9</v>
      </c>
      <c r="O99" s="46"/>
      <c r="P99" s="15">
        <v>9</v>
      </c>
      <c r="Q99" s="46"/>
      <c r="R99" s="15">
        <v>9</v>
      </c>
      <c r="S99" s="46"/>
    </row>
    <row r="100" spans="1:19">
      <c r="A100" s="36"/>
      <c r="B100" s="2" t="s">
        <v>64</v>
      </c>
      <c r="C100" s="7" t="s">
        <v>67</v>
      </c>
      <c r="D100" s="36"/>
      <c r="E100" s="36"/>
      <c r="F100" s="15">
        <v>3</v>
      </c>
      <c r="G100" s="47"/>
      <c r="H100" s="15">
        <v>3</v>
      </c>
      <c r="I100" s="46"/>
      <c r="J100" s="15">
        <v>4</v>
      </c>
      <c r="K100" s="46"/>
      <c r="L100" s="15">
        <v>4</v>
      </c>
      <c r="M100" s="46"/>
      <c r="N100" s="15">
        <v>5</v>
      </c>
      <c r="O100" s="46"/>
      <c r="P100" s="15">
        <v>8</v>
      </c>
      <c r="Q100" s="46"/>
      <c r="R100" s="15">
        <v>8</v>
      </c>
      <c r="S100" s="46"/>
    </row>
    <row r="101" spans="1:19">
      <c r="A101" s="38" t="s">
        <v>51</v>
      </c>
      <c r="B101" s="9" t="s">
        <v>52</v>
      </c>
      <c r="C101" s="10" t="s">
        <v>53</v>
      </c>
      <c r="D101" s="38" t="s">
        <v>14</v>
      </c>
      <c r="E101" s="38" t="s">
        <v>19</v>
      </c>
      <c r="F101" s="16">
        <v>2</v>
      </c>
      <c r="G101" s="43">
        <v>4.2222222222222223</v>
      </c>
      <c r="H101" s="16">
        <v>2</v>
      </c>
      <c r="I101" s="43">
        <v>5</v>
      </c>
      <c r="J101" s="16">
        <v>2</v>
      </c>
      <c r="K101" s="43">
        <v>5.2222222222222223</v>
      </c>
      <c r="L101" s="16">
        <v>2</v>
      </c>
      <c r="M101" s="43">
        <v>4.333333333333333</v>
      </c>
      <c r="N101" s="16">
        <v>1</v>
      </c>
      <c r="O101" s="43">
        <v>5.666666666666667</v>
      </c>
      <c r="P101" s="16">
        <v>1</v>
      </c>
      <c r="Q101" s="45">
        <f t="shared" ref="Q101" si="20">SUM(P101:P109)/9</f>
        <v>5.8888888888888893</v>
      </c>
      <c r="R101" s="16">
        <v>1</v>
      </c>
      <c r="S101" s="45">
        <f t="shared" ref="S101" si="21" xml:space="preserve"> SUM(R101:R109)/9</f>
        <v>6</v>
      </c>
    </row>
    <row r="102" spans="1:19">
      <c r="A102" s="39"/>
      <c r="B102" s="9" t="s">
        <v>54</v>
      </c>
      <c r="C102" s="10" t="s">
        <v>55</v>
      </c>
      <c r="D102" s="39"/>
      <c r="E102" s="39"/>
      <c r="F102" s="16">
        <v>9</v>
      </c>
      <c r="G102" s="44"/>
      <c r="H102" s="16">
        <v>7</v>
      </c>
      <c r="I102" s="44"/>
      <c r="J102" s="16">
        <v>10</v>
      </c>
      <c r="K102" s="44"/>
      <c r="L102" s="16">
        <v>10</v>
      </c>
      <c r="M102" s="44"/>
      <c r="N102" s="16">
        <v>10</v>
      </c>
      <c r="O102" s="44"/>
      <c r="P102" s="16">
        <v>10</v>
      </c>
      <c r="Q102" s="46"/>
      <c r="R102" s="16">
        <v>10</v>
      </c>
      <c r="S102" s="46"/>
    </row>
    <row r="103" spans="1:19">
      <c r="A103" s="39"/>
      <c r="B103" s="9" t="s">
        <v>56</v>
      </c>
      <c r="C103" s="10" t="s">
        <v>57</v>
      </c>
      <c r="D103" s="39"/>
      <c r="E103" s="39"/>
      <c r="F103" s="16">
        <v>1</v>
      </c>
      <c r="G103" s="44"/>
      <c r="H103" s="16">
        <v>1</v>
      </c>
      <c r="I103" s="44"/>
      <c r="J103" s="16">
        <v>1</v>
      </c>
      <c r="K103" s="44"/>
      <c r="L103" s="16">
        <v>1</v>
      </c>
      <c r="M103" s="44"/>
      <c r="N103" s="16">
        <v>1</v>
      </c>
      <c r="O103" s="44"/>
      <c r="P103" s="16">
        <v>1</v>
      </c>
      <c r="Q103" s="46"/>
      <c r="R103" s="16">
        <v>1</v>
      </c>
      <c r="S103" s="46"/>
    </row>
    <row r="104" spans="1:19">
      <c r="A104" s="39"/>
      <c r="B104" s="9" t="s">
        <v>58</v>
      </c>
      <c r="C104" s="10" t="s">
        <v>59</v>
      </c>
      <c r="D104" s="39"/>
      <c r="E104" s="39"/>
      <c r="F104" s="16">
        <v>5</v>
      </c>
      <c r="G104" s="44"/>
      <c r="H104" s="16">
        <v>7</v>
      </c>
      <c r="I104" s="44"/>
      <c r="J104" s="16">
        <v>8</v>
      </c>
      <c r="K104" s="44"/>
      <c r="L104" s="16">
        <v>5</v>
      </c>
      <c r="M104" s="44"/>
      <c r="N104" s="16">
        <v>10</v>
      </c>
      <c r="O104" s="44"/>
      <c r="P104" s="16">
        <v>10</v>
      </c>
      <c r="Q104" s="46"/>
      <c r="R104" s="16">
        <v>10</v>
      </c>
      <c r="S104" s="46"/>
    </row>
    <row r="105" spans="1:19">
      <c r="A105" s="39"/>
      <c r="B105" s="9" t="s">
        <v>60</v>
      </c>
      <c r="C105" s="10" t="s">
        <v>94</v>
      </c>
      <c r="D105" s="39"/>
      <c r="E105" s="39"/>
      <c r="F105" s="16">
        <v>4</v>
      </c>
      <c r="G105" s="44"/>
      <c r="H105" s="16">
        <v>10</v>
      </c>
      <c r="I105" s="44"/>
      <c r="J105" s="16">
        <v>7</v>
      </c>
      <c r="K105" s="44"/>
      <c r="L105" s="16">
        <v>3</v>
      </c>
      <c r="M105" s="44"/>
      <c r="N105" s="16">
        <v>4</v>
      </c>
      <c r="O105" s="44"/>
      <c r="P105" s="16">
        <v>4</v>
      </c>
      <c r="Q105" s="46"/>
      <c r="R105" s="16">
        <v>4</v>
      </c>
      <c r="S105" s="46"/>
    </row>
    <row r="106" spans="1:19">
      <c r="A106" s="39"/>
      <c r="B106" s="9" t="s">
        <v>61</v>
      </c>
      <c r="C106" s="10" t="s">
        <v>93</v>
      </c>
      <c r="D106" s="39"/>
      <c r="E106" s="39"/>
      <c r="F106" s="16">
        <v>4</v>
      </c>
      <c r="G106" s="44"/>
      <c r="H106" s="16">
        <v>4</v>
      </c>
      <c r="I106" s="44"/>
      <c r="J106" s="16">
        <v>4</v>
      </c>
      <c r="K106" s="44"/>
      <c r="L106" s="16">
        <v>3</v>
      </c>
      <c r="M106" s="44"/>
      <c r="N106" s="16">
        <v>7</v>
      </c>
      <c r="O106" s="44"/>
      <c r="P106" s="16">
        <v>7</v>
      </c>
      <c r="Q106" s="46"/>
      <c r="R106" s="16">
        <v>8</v>
      </c>
      <c r="S106" s="46"/>
    </row>
    <row r="107" spans="1:19">
      <c r="A107" s="39"/>
      <c r="B107" s="9" t="s">
        <v>62</v>
      </c>
      <c r="C107" s="10" t="s">
        <v>65</v>
      </c>
      <c r="D107" s="39"/>
      <c r="E107" s="39"/>
      <c r="F107" s="16">
        <v>3</v>
      </c>
      <c r="G107" s="44"/>
      <c r="H107" s="16">
        <v>3</v>
      </c>
      <c r="I107" s="44"/>
      <c r="J107" s="16">
        <v>4</v>
      </c>
      <c r="K107" s="44"/>
      <c r="L107" s="16">
        <v>4</v>
      </c>
      <c r="M107" s="44"/>
      <c r="N107" s="16">
        <v>7</v>
      </c>
      <c r="O107" s="44"/>
      <c r="P107" s="16">
        <v>8</v>
      </c>
      <c r="Q107" s="46"/>
      <c r="R107" s="16">
        <v>8</v>
      </c>
      <c r="S107" s="46"/>
    </row>
    <row r="108" spans="1:19">
      <c r="A108" s="39"/>
      <c r="B108" s="9" t="s">
        <v>63</v>
      </c>
      <c r="C108" s="10" t="s">
        <v>66</v>
      </c>
      <c r="D108" s="39"/>
      <c r="E108" s="39"/>
      <c r="F108" s="16">
        <v>9</v>
      </c>
      <c r="G108" s="44"/>
      <c r="H108" s="16">
        <v>10</v>
      </c>
      <c r="I108" s="44"/>
      <c r="J108" s="16">
        <v>10</v>
      </c>
      <c r="K108" s="44"/>
      <c r="L108" s="16">
        <v>10</v>
      </c>
      <c r="M108" s="44"/>
      <c r="N108" s="16">
        <v>10</v>
      </c>
      <c r="O108" s="44"/>
      <c r="P108" s="16">
        <v>10</v>
      </c>
      <c r="Q108" s="46"/>
      <c r="R108" s="16">
        <v>10</v>
      </c>
      <c r="S108" s="46"/>
    </row>
    <row r="109" spans="1:19">
      <c r="A109" s="39"/>
      <c r="B109" s="9" t="s">
        <v>64</v>
      </c>
      <c r="C109" s="12" t="s">
        <v>67</v>
      </c>
      <c r="D109" s="39"/>
      <c r="E109" s="39"/>
      <c r="F109" s="16">
        <v>1</v>
      </c>
      <c r="G109" s="48"/>
      <c r="H109" s="16">
        <v>1</v>
      </c>
      <c r="I109" s="44"/>
      <c r="J109" s="16">
        <v>1</v>
      </c>
      <c r="K109" s="44"/>
      <c r="L109" s="16">
        <v>1</v>
      </c>
      <c r="M109" s="44"/>
      <c r="N109" s="16">
        <v>1</v>
      </c>
      <c r="O109" s="44"/>
      <c r="P109" s="16">
        <v>2</v>
      </c>
      <c r="Q109" s="46"/>
      <c r="R109" s="16">
        <v>2</v>
      </c>
      <c r="S109" s="46"/>
    </row>
    <row r="110" spans="1:19">
      <c r="A110" s="35" t="s">
        <v>51</v>
      </c>
      <c r="B110" s="2" t="s">
        <v>52</v>
      </c>
      <c r="C110" s="3" t="s">
        <v>53</v>
      </c>
      <c r="D110" s="35" t="s">
        <v>14</v>
      </c>
      <c r="E110" s="35" t="s">
        <v>20</v>
      </c>
      <c r="F110" s="15">
        <v>2</v>
      </c>
      <c r="G110" s="45">
        <v>4</v>
      </c>
      <c r="H110" s="15">
        <v>2</v>
      </c>
      <c r="I110" s="45">
        <v>4</v>
      </c>
      <c r="J110" s="15">
        <v>2</v>
      </c>
      <c r="K110" s="45">
        <v>4.2222222222222223</v>
      </c>
      <c r="L110" s="15">
        <v>2</v>
      </c>
      <c r="M110" s="45">
        <v>3.8888888888888888</v>
      </c>
      <c r="N110" s="15">
        <v>2</v>
      </c>
      <c r="O110" s="45">
        <v>4.8888888888888893</v>
      </c>
      <c r="P110" s="15">
        <v>2</v>
      </c>
      <c r="Q110" s="45">
        <f t="shared" ref="Q110" si="22">SUM(P110:P118)/9</f>
        <v>5.1111111111111107</v>
      </c>
      <c r="R110" s="15">
        <v>2</v>
      </c>
      <c r="S110" s="45">
        <f t="shared" ref="S110" si="23" xml:space="preserve"> SUM(R110:R118)/9</f>
        <v>4.8888888888888893</v>
      </c>
    </row>
    <row r="111" spans="1:19">
      <c r="A111" s="36"/>
      <c r="B111" s="2" t="s">
        <v>54</v>
      </c>
      <c r="C111" s="3" t="s">
        <v>55</v>
      </c>
      <c r="D111" s="36"/>
      <c r="E111" s="36"/>
      <c r="F111" s="15">
        <v>8</v>
      </c>
      <c r="G111" s="46"/>
      <c r="H111" s="15">
        <v>7</v>
      </c>
      <c r="I111" s="46"/>
      <c r="J111" s="15">
        <v>8</v>
      </c>
      <c r="K111" s="46"/>
      <c r="L111" s="15">
        <v>8</v>
      </c>
      <c r="M111" s="46"/>
      <c r="N111" s="15">
        <v>8</v>
      </c>
      <c r="O111" s="46"/>
      <c r="P111" s="15">
        <v>9</v>
      </c>
      <c r="Q111" s="46"/>
      <c r="R111" s="15">
        <v>7</v>
      </c>
      <c r="S111" s="46"/>
    </row>
    <row r="112" spans="1:19">
      <c r="A112" s="36"/>
      <c r="B112" s="2" t="s">
        <v>56</v>
      </c>
      <c r="C112" s="3" t="s">
        <v>57</v>
      </c>
      <c r="D112" s="36"/>
      <c r="E112" s="36"/>
      <c r="F112" s="15">
        <v>1</v>
      </c>
      <c r="G112" s="46"/>
      <c r="H112" s="15">
        <v>1</v>
      </c>
      <c r="I112" s="46"/>
      <c r="J112" s="15">
        <v>1</v>
      </c>
      <c r="K112" s="46"/>
      <c r="L112" s="15">
        <v>1</v>
      </c>
      <c r="M112" s="46"/>
      <c r="N112" s="15">
        <v>1</v>
      </c>
      <c r="O112" s="46"/>
      <c r="P112" s="15">
        <v>1</v>
      </c>
      <c r="Q112" s="46"/>
      <c r="R112" s="15">
        <v>1</v>
      </c>
      <c r="S112" s="46"/>
    </row>
    <row r="113" spans="1:19">
      <c r="A113" s="36"/>
      <c r="B113" s="2" t="s">
        <v>58</v>
      </c>
      <c r="C113" s="3" t="s">
        <v>59</v>
      </c>
      <c r="D113" s="36"/>
      <c r="E113" s="36"/>
      <c r="F113" s="15">
        <v>6</v>
      </c>
      <c r="G113" s="46"/>
      <c r="H113" s="15">
        <v>6</v>
      </c>
      <c r="I113" s="46"/>
      <c r="J113" s="15">
        <v>7</v>
      </c>
      <c r="K113" s="46"/>
      <c r="L113" s="15">
        <v>5</v>
      </c>
      <c r="M113" s="46"/>
      <c r="N113" s="15">
        <v>10</v>
      </c>
      <c r="O113" s="46"/>
      <c r="P113" s="15">
        <v>10</v>
      </c>
      <c r="Q113" s="46"/>
      <c r="R113" s="15">
        <v>10</v>
      </c>
      <c r="S113" s="46"/>
    </row>
    <row r="114" spans="1:19">
      <c r="A114" s="36"/>
      <c r="B114" s="2" t="s">
        <v>60</v>
      </c>
      <c r="C114" s="3" t="s">
        <v>94</v>
      </c>
      <c r="D114" s="36"/>
      <c r="E114" s="36"/>
      <c r="F114" s="15">
        <v>1</v>
      </c>
      <c r="G114" s="46"/>
      <c r="H114" s="15">
        <v>1</v>
      </c>
      <c r="I114" s="46"/>
      <c r="J114" s="15">
        <v>1</v>
      </c>
      <c r="K114" s="46"/>
      <c r="L114" s="15">
        <v>1</v>
      </c>
      <c r="M114" s="46"/>
      <c r="N114" s="15">
        <v>2</v>
      </c>
      <c r="O114" s="46"/>
      <c r="P114" s="15">
        <v>3</v>
      </c>
      <c r="Q114" s="46"/>
      <c r="R114" s="15">
        <v>4</v>
      </c>
      <c r="S114" s="46"/>
    </row>
    <row r="115" spans="1:19">
      <c r="A115" s="36"/>
      <c r="B115" s="2" t="s">
        <v>61</v>
      </c>
      <c r="C115" s="3" t="s">
        <v>93</v>
      </c>
      <c r="D115" s="36"/>
      <c r="E115" s="36"/>
      <c r="F115" s="15">
        <v>4</v>
      </c>
      <c r="G115" s="46"/>
      <c r="H115" s="15">
        <v>4</v>
      </c>
      <c r="I115" s="46"/>
      <c r="J115" s="15">
        <v>4</v>
      </c>
      <c r="K115" s="46"/>
      <c r="L115" s="15">
        <v>3</v>
      </c>
      <c r="M115" s="46"/>
      <c r="N115" s="15">
        <v>5</v>
      </c>
      <c r="O115" s="46"/>
      <c r="P115" s="15">
        <v>5</v>
      </c>
      <c r="Q115" s="46"/>
      <c r="R115" s="15">
        <v>4</v>
      </c>
      <c r="S115" s="46"/>
    </row>
    <row r="116" spans="1:19">
      <c r="A116" s="36"/>
      <c r="B116" s="2" t="s">
        <v>62</v>
      </c>
      <c r="C116" s="3" t="s">
        <v>65</v>
      </c>
      <c r="D116" s="36"/>
      <c r="E116" s="36"/>
      <c r="F116" s="15">
        <v>5</v>
      </c>
      <c r="G116" s="46"/>
      <c r="H116" s="15">
        <v>5</v>
      </c>
      <c r="I116" s="46"/>
      <c r="J116" s="15">
        <v>5</v>
      </c>
      <c r="K116" s="46"/>
      <c r="L116" s="15">
        <v>5</v>
      </c>
      <c r="M116" s="46"/>
      <c r="N116" s="15">
        <v>6</v>
      </c>
      <c r="O116" s="46"/>
      <c r="P116" s="15">
        <v>6</v>
      </c>
      <c r="Q116" s="46"/>
      <c r="R116" s="15">
        <v>6</v>
      </c>
      <c r="S116" s="46"/>
    </row>
    <row r="117" spans="1:19">
      <c r="A117" s="36"/>
      <c r="B117" s="2" t="s">
        <v>63</v>
      </c>
      <c r="C117" s="3" t="s">
        <v>66</v>
      </c>
      <c r="D117" s="36"/>
      <c r="E117" s="36"/>
      <c r="F117" s="15">
        <v>8</v>
      </c>
      <c r="G117" s="46"/>
      <c r="H117" s="15">
        <v>9</v>
      </c>
      <c r="I117" s="46"/>
      <c r="J117" s="15">
        <v>9</v>
      </c>
      <c r="K117" s="46"/>
      <c r="L117" s="15">
        <v>9</v>
      </c>
      <c r="M117" s="46"/>
      <c r="N117" s="15">
        <v>9</v>
      </c>
      <c r="O117" s="46"/>
      <c r="P117" s="15">
        <v>9</v>
      </c>
      <c r="Q117" s="46"/>
      <c r="R117" s="15">
        <v>9</v>
      </c>
      <c r="S117" s="46"/>
    </row>
    <row r="118" spans="1:19">
      <c r="A118" s="36"/>
      <c r="B118" s="2" t="s">
        <v>64</v>
      </c>
      <c r="C118" s="7" t="s">
        <v>67</v>
      </c>
      <c r="D118" s="36"/>
      <c r="E118" s="36"/>
      <c r="F118" s="15">
        <v>1</v>
      </c>
      <c r="G118" s="47"/>
      <c r="H118" s="15">
        <v>1</v>
      </c>
      <c r="I118" s="46"/>
      <c r="J118" s="15">
        <v>1</v>
      </c>
      <c r="K118" s="46"/>
      <c r="L118" s="15">
        <v>1</v>
      </c>
      <c r="M118" s="46"/>
      <c r="N118" s="15">
        <v>1</v>
      </c>
      <c r="O118" s="46"/>
      <c r="P118" s="15">
        <v>1</v>
      </c>
      <c r="Q118" s="46"/>
      <c r="R118" s="15">
        <v>1</v>
      </c>
      <c r="S118" s="46"/>
    </row>
    <row r="119" spans="1:19">
      <c r="A119" s="38" t="s">
        <v>51</v>
      </c>
      <c r="B119" s="9" t="s">
        <v>52</v>
      </c>
      <c r="C119" s="10" t="s">
        <v>53</v>
      </c>
      <c r="D119" s="38" t="s">
        <v>14</v>
      </c>
      <c r="E119" s="38" t="s">
        <v>21</v>
      </c>
      <c r="F119" s="16">
        <v>2</v>
      </c>
      <c r="G119" s="43">
        <v>4.7777777777777777</v>
      </c>
      <c r="H119" s="16">
        <v>1</v>
      </c>
      <c r="I119" s="43">
        <v>4.666666666666667</v>
      </c>
      <c r="J119" s="16">
        <v>1</v>
      </c>
      <c r="K119" s="43">
        <v>4.8888888888888893</v>
      </c>
      <c r="L119" s="16">
        <v>1</v>
      </c>
      <c r="M119" s="43">
        <v>5</v>
      </c>
      <c r="N119" s="16">
        <v>2</v>
      </c>
      <c r="O119" s="43">
        <v>5.4444444444444446</v>
      </c>
      <c r="P119" s="16">
        <v>2</v>
      </c>
      <c r="Q119" s="45">
        <f t="shared" ref="Q119" si="24">SUM(P119:P127)/9</f>
        <v>5.333333333333333</v>
      </c>
      <c r="R119" s="16">
        <v>2</v>
      </c>
      <c r="S119" s="45">
        <f t="shared" ref="S119" si="25" xml:space="preserve"> SUM(R119:R127)/9</f>
        <v>4.8888888888888893</v>
      </c>
    </row>
    <row r="120" spans="1:19">
      <c r="A120" s="39"/>
      <c r="B120" s="9" t="s">
        <v>54</v>
      </c>
      <c r="C120" s="10" t="s">
        <v>55</v>
      </c>
      <c r="D120" s="39"/>
      <c r="E120" s="39"/>
      <c r="F120" s="16">
        <v>8</v>
      </c>
      <c r="G120" s="44"/>
      <c r="H120" s="16">
        <v>7</v>
      </c>
      <c r="I120" s="44"/>
      <c r="J120" s="16">
        <v>6</v>
      </c>
      <c r="K120" s="44"/>
      <c r="L120" s="16">
        <v>8</v>
      </c>
      <c r="M120" s="44"/>
      <c r="N120" s="16">
        <v>7</v>
      </c>
      <c r="O120" s="44"/>
      <c r="P120" s="16">
        <v>8</v>
      </c>
      <c r="Q120" s="46"/>
      <c r="R120" s="16">
        <v>6</v>
      </c>
      <c r="S120" s="46"/>
    </row>
    <row r="121" spans="1:19">
      <c r="A121" s="39"/>
      <c r="B121" s="9" t="s">
        <v>56</v>
      </c>
      <c r="C121" s="10" t="s">
        <v>57</v>
      </c>
      <c r="D121" s="39"/>
      <c r="E121" s="39"/>
      <c r="F121" s="16">
        <v>1</v>
      </c>
      <c r="G121" s="44"/>
      <c r="H121" s="16">
        <v>1</v>
      </c>
      <c r="I121" s="44"/>
      <c r="J121" s="16">
        <v>2</v>
      </c>
      <c r="K121" s="44"/>
      <c r="L121" s="16">
        <v>3</v>
      </c>
      <c r="M121" s="44"/>
      <c r="N121" s="16">
        <v>5</v>
      </c>
      <c r="O121" s="44"/>
      <c r="P121" s="16">
        <v>3</v>
      </c>
      <c r="Q121" s="46"/>
      <c r="R121" s="16">
        <v>3</v>
      </c>
      <c r="S121" s="46"/>
    </row>
    <row r="122" spans="1:19">
      <c r="A122" s="39"/>
      <c r="B122" s="9" t="s">
        <v>58</v>
      </c>
      <c r="C122" s="10" t="s">
        <v>59</v>
      </c>
      <c r="D122" s="39"/>
      <c r="E122" s="39"/>
      <c r="F122" s="16">
        <v>10</v>
      </c>
      <c r="G122" s="44"/>
      <c r="H122" s="16">
        <v>10</v>
      </c>
      <c r="I122" s="44"/>
      <c r="J122" s="16">
        <v>10</v>
      </c>
      <c r="K122" s="44"/>
      <c r="L122" s="16">
        <v>10</v>
      </c>
      <c r="M122" s="44"/>
      <c r="N122" s="16">
        <v>10</v>
      </c>
      <c r="O122" s="44"/>
      <c r="P122" s="16">
        <v>10</v>
      </c>
      <c r="Q122" s="46"/>
      <c r="R122" s="16">
        <v>10</v>
      </c>
      <c r="S122" s="46"/>
    </row>
    <row r="123" spans="1:19">
      <c r="A123" s="39"/>
      <c r="B123" s="9" t="s">
        <v>60</v>
      </c>
      <c r="C123" s="10" t="s">
        <v>94</v>
      </c>
      <c r="D123" s="39"/>
      <c r="E123" s="39"/>
      <c r="F123" s="16">
        <v>1</v>
      </c>
      <c r="G123" s="44"/>
      <c r="H123" s="16">
        <v>1</v>
      </c>
      <c r="I123" s="44"/>
      <c r="J123" s="16">
        <v>1</v>
      </c>
      <c r="K123" s="44"/>
      <c r="L123" s="16">
        <v>1</v>
      </c>
      <c r="M123" s="44"/>
      <c r="N123" s="16">
        <v>1</v>
      </c>
      <c r="O123" s="44"/>
      <c r="P123" s="16">
        <v>1</v>
      </c>
      <c r="Q123" s="46"/>
      <c r="R123" s="16">
        <v>1</v>
      </c>
      <c r="S123" s="46"/>
    </row>
    <row r="124" spans="1:19">
      <c r="A124" s="39"/>
      <c r="B124" s="9" t="s">
        <v>61</v>
      </c>
      <c r="C124" s="10" t="s">
        <v>93</v>
      </c>
      <c r="D124" s="39"/>
      <c r="E124" s="39"/>
      <c r="F124" s="16">
        <v>1</v>
      </c>
      <c r="G124" s="44"/>
      <c r="H124" s="16">
        <v>1</v>
      </c>
      <c r="I124" s="44"/>
      <c r="J124" s="16">
        <v>1</v>
      </c>
      <c r="K124" s="44"/>
      <c r="L124" s="16">
        <v>1</v>
      </c>
      <c r="M124" s="44"/>
      <c r="N124" s="16">
        <v>1</v>
      </c>
      <c r="O124" s="44"/>
      <c r="P124" s="16">
        <v>1</v>
      </c>
      <c r="Q124" s="46"/>
      <c r="R124" s="16">
        <v>1</v>
      </c>
      <c r="S124" s="46"/>
    </row>
    <row r="125" spans="1:19">
      <c r="A125" s="39"/>
      <c r="B125" s="9" t="s">
        <v>62</v>
      </c>
      <c r="C125" s="10" t="s">
        <v>65</v>
      </c>
      <c r="D125" s="39"/>
      <c r="E125" s="39"/>
      <c r="F125" s="16">
        <v>10</v>
      </c>
      <c r="G125" s="44"/>
      <c r="H125" s="16">
        <v>10</v>
      </c>
      <c r="I125" s="44"/>
      <c r="J125" s="16">
        <v>10</v>
      </c>
      <c r="K125" s="44"/>
      <c r="L125" s="16">
        <v>10</v>
      </c>
      <c r="M125" s="44"/>
      <c r="N125" s="16">
        <v>10</v>
      </c>
      <c r="O125" s="44"/>
      <c r="P125" s="16">
        <v>10</v>
      </c>
      <c r="Q125" s="46"/>
      <c r="R125" s="16">
        <v>10</v>
      </c>
      <c r="S125" s="46"/>
    </row>
    <row r="126" spans="1:19">
      <c r="A126" s="39"/>
      <c r="B126" s="9" t="s">
        <v>63</v>
      </c>
      <c r="C126" s="10" t="s">
        <v>66</v>
      </c>
      <c r="D126" s="39"/>
      <c r="E126" s="39"/>
      <c r="F126" s="16">
        <v>8</v>
      </c>
      <c r="G126" s="44"/>
      <c r="H126" s="16">
        <v>9</v>
      </c>
      <c r="I126" s="44"/>
      <c r="J126" s="16">
        <v>9</v>
      </c>
      <c r="K126" s="44"/>
      <c r="L126" s="16">
        <v>9</v>
      </c>
      <c r="M126" s="44"/>
      <c r="N126" s="16">
        <v>9</v>
      </c>
      <c r="O126" s="44"/>
      <c r="P126" s="16">
        <v>9</v>
      </c>
      <c r="Q126" s="46"/>
      <c r="R126" s="16">
        <v>8</v>
      </c>
      <c r="S126" s="46"/>
    </row>
    <row r="127" spans="1:19">
      <c r="A127" s="39"/>
      <c r="B127" s="9" t="s">
        <v>64</v>
      </c>
      <c r="C127" s="12" t="s">
        <v>67</v>
      </c>
      <c r="D127" s="39"/>
      <c r="E127" s="39"/>
      <c r="F127" s="16">
        <v>2</v>
      </c>
      <c r="G127" s="48"/>
      <c r="H127" s="16">
        <v>2</v>
      </c>
      <c r="I127" s="44"/>
      <c r="J127" s="16">
        <v>4</v>
      </c>
      <c r="K127" s="44"/>
      <c r="L127" s="16">
        <v>2</v>
      </c>
      <c r="M127" s="44"/>
      <c r="N127" s="16">
        <v>4</v>
      </c>
      <c r="O127" s="44"/>
      <c r="P127" s="16">
        <v>4</v>
      </c>
      <c r="Q127" s="46"/>
      <c r="R127" s="16">
        <v>3</v>
      </c>
      <c r="S127" s="46"/>
    </row>
    <row r="128" spans="1:19">
      <c r="A128" s="35" t="s">
        <v>51</v>
      </c>
      <c r="B128" s="2" t="s">
        <v>52</v>
      </c>
      <c r="C128" s="3" t="s">
        <v>53</v>
      </c>
      <c r="D128" s="35" t="s">
        <v>14</v>
      </c>
      <c r="E128" s="35" t="s">
        <v>22</v>
      </c>
      <c r="F128" s="15">
        <v>3</v>
      </c>
      <c r="G128" s="45">
        <v>5</v>
      </c>
      <c r="H128" s="15">
        <v>3</v>
      </c>
      <c r="I128" s="45">
        <v>4.666666666666667</v>
      </c>
      <c r="J128" s="15">
        <v>2</v>
      </c>
      <c r="K128" s="45">
        <v>5.1111111111111107</v>
      </c>
      <c r="L128" s="15">
        <v>2</v>
      </c>
      <c r="M128" s="45">
        <v>4.4444444444444446</v>
      </c>
      <c r="N128" s="15">
        <v>3</v>
      </c>
      <c r="O128" s="45">
        <v>4.7777777777777777</v>
      </c>
      <c r="P128" s="15">
        <v>2</v>
      </c>
      <c r="Q128" s="45">
        <f t="shared" ref="Q128" si="26">SUM(P128:P136)/9</f>
        <v>4.7777777777777777</v>
      </c>
      <c r="R128" s="15">
        <v>2</v>
      </c>
      <c r="S128" s="45">
        <f t="shared" ref="S128" si="27" xml:space="preserve"> SUM(R128:R136)/9</f>
        <v>4.666666666666667</v>
      </c>
    </row>
    <row r="129" spans="1:19">
      <c r="A129" s="36"/>
      <c r="B129" s="2" t="s">
        <v>54</v>
      </c>
      <c r="C129" s="3" t="s">
        <v>55</v>
      </c>
      <c r="D129" s="36"/>
      <c r="E129" s="36"/>
      <c r="F129" s="15">
        <v>10</v>
      </c>
      <c r="G129" s="46"/>
      <c r="H129" s="15">
        <v>7</v>
      </c>
      <c r="I129" s="46"/>
      <c r="J129" s="15">
        <v>10</v>
      </c>
      <c r="K129" s="46"/>
      <c r="L129" s="15">
        <v>10</v>
      </c>
      <c r="M129" s="46"/>
      <c r="N129" s="15">
        <v>9</v>
      </c>
      <c r="O129" s="46"/>
      <c r="P129" s="15">
        <v>10</v>
      </c>
      <c r="Q129" s="46"/>
      <c r="R129" s="15">
        <v>10</v>
      </c>
      <c r="S129" s="46"/>
    </row>
    <row r="130" spans="1:19">
      <c r="A130" s="36"/>
      <c r="B130" s="2" t="s">
        <v>56</v>
      </c>
      <c r="C130" s="3" t="s">
        <v>57</v>
      </c>
      <c r="D130" s="36"/>
      <c r="E130" s="36"/>
      <c r="F130" s="15">
        <v>1</v>
      </c>
      <c r="G130" s="46"/>
      <c r="H130" s="15">
        <v>1</v>
      </c>
      <c r="I130" s="46"/>
      <c r="J130" s="15">
        <v>1</v>
      </c>
      <c r="K130" s="46"/>
      <c r="L130" s="15">
        <v>2</v>
      </c>
      <c r="M130" s="46"/>
      <c r="N130" s="15">
        <v>2</v>
      </c>
      <c r="O130" s="46"/>
      <c r="P130" s="15">
        <v>2</v>
      </c>
      <c r="Q130" s="46"/>
      <c r="R130" s="15">
        <v>2</v>
      </c>
      <c r="S130" s="46"/>
    </row>
    <row r="131" spans="1:19">
      <c r="A131" s="36"/>
      <c r="B131" s="2" t="s">
        <v>58</v>
      </c>
      <c r="C131" s="3" t="s">
        <v>59</v>
      </c>
      <c r="D131" s="36"/>
      <c r="E131" s="36"/>
      <c r="F131" s="15">
        <v>10</v>
      </c>
      <c r="G131" s="46"/>
      <c r="H131" s="15">
        <v>10</v>
      </c>
      <c r="I131" s="46"/>
      <c r="J131" s="15">
        <v>9</v>
      </c>
      <c r="K131" s="46"/>
      <c r="L131" s="15">
        <v>6</v>
      </c>
      <c r="M131" s="46"/>
      <c r="N131" s="15">
        <v>10</v>
      </c>
      <c r="O131" s="46"/>
      <c r="P131" s="15">
        <v>10</v>
      </c>
      <c r="Q131" s="46"/>
      <c r="R131" s="15">
        <v>10</v>
      </c>
      <c r="S131" s="46"/>
    </row>
    <row r="132" spans="1:19">
      <c r="A132" s="36"/>
      <c r="B132" s="2" t="s">
        <v>60</v>
      </c>
      <c r="C132" s="3" t="s">
        <v>94</v>
      </c>
      <c r="D132" s="36"/>
      <c r="E132" s="36"/>
      <c r="F132" s="15">
        <v>1</v>
      </c>
      <c r="G132" s="46"/>
      <c r="H132" s="15">
        <v>1</v>
      </c>
      <c r="I132" s="46"/>
      <c r="J132" s="15">
        <v>1</v>
      </c>
      <c r="K132" s="46"/>
      <c r="L132" s="15">
        <v>1</v>
      </c>
      <c r="M132" s="46"/>
      <c r="N132" s="15">
        <v>1</v>
      </c>
      <c r="O132" s="46"/>
      <c r="P132" s="15">
        <v>1</v>
      </c>
      <c r="Q132" s="46"/>
      <c r="R132" s="15">
        <v>1</v>
      </c>
      <c r="S132" s="46"/>
    </row>
    <row r="133" spans="1:19">
      <c r="A133" s="36"/>
      <c r="B133" s="2" t="s">
        <v>61</v>
      </c>
      <c r="C133" s="3" t="s">
        <v>93</v>
      </c>
      <c r="D133" s="36"/>
      <c r="E133" s="36"/>
      <c r="F133" s="15">
        <v>1</v>
      </c>
      <c r="G133" s="46"/>
      <c r="H133" s="15">
        <v>1</v>
      </c>
      <c r="I133" s="46"/>
      <c r="J133" s="15">
        <v>1</v>
      </c>
      <c r="K133" s="46"/>
      <c r="L133" s="15">
        <v>1</v>
      </c>
      <c r="M133" s="46"/>
      <c r="N133" s="15">
        <v>1</v>
      </c>
      <c r="O133" s="46"/>
      <c r="P133" s="15">
        <v>1</v>
      </c>
      <c r="Q133" s="46"/>
      <c r="R133" s="15">
        <v>1</v>
      </c>
      <c r="S133" s="46"/>
    </row>
    <row r="134" spans="1:19">
      <c r="A134" s="36"/>
      <c r="B134" s="2" t="s">
        <v>62</v>
      </c>
      <c r="C134" s="3" t="s">
        <v>65</v>
      </c>
      <c r="D134" s="36"/>
      <c r="E134" s="36"/>
      <c r="F134" s="15">
        <v>10</v>
      </c>
      <c r="G134" s="46"/>
      <c r="H134" s="15">
        <v>10</v>
      </c>
      <c r="I134" s="46"/>
      <c r="J134" s="15">
        <v>10</v>
      </c>
      <c r="K134" s="46"/>
      <c r="L134" s="15">
        <v>6</v>
      </c>
      <c r="M134" s="46"/>
      <c r="N134" s="15">
        <v>5</v>
      </c>
      <c r="O134" s="46"/>
      <c r="P134" s="15">
        <v>5</v>
      </c>
      <c r="Q134" s="46"/>
      <c r="R134" s="15">
        <v>5</v>
      </c>
      <c r="S134" s="46"/>
    </row>
    <row r="135" spans="1:19">
      <c r="A135" s="36"/>
      <c r="B135" s="2" t="s">
        <v>63</v>
      </c>
      <c r="C135" s="3" t="s">
        <v>66</v>
      </c>
      <c r="D135" s="36"/>
      <c r="E135" s="36"/>
      <c r="F135" s="15">
        <v>8</v>
      </c>
      <c r="G135" s="46"/>
      <c r="H135" s="15">
        <v>8</v>
      </c>
      <c r="I135" s="46"/>
      <c r="J135" s="15">
        <v>9</v>
      </c>
      <c r="K135" s="46"/>
      <c r="L135" s="15">
        <v>9</v>
      </c>
      <c r="M135" s="46"/>
      <c r="N135" s="15">
        <v>9</v>
      </c>
      <c r="O135" s="46"/>
      <c r="P135" s="15">
        <v>9</v>
      </c>
      <c r="Q135" s="46"/>
      <c r="R135" s="15">
        <v>9</v>
      </c>
      <c r="S135" s="46"/>
    </row>
    <row r="136" spans="1:19">
      <c r="A136" s="36"/>
      <c r="B136" s="2" t="s">
        <v>64</v>
      </c>
      <c r="C136" s="7" t="s">
        <v>67</v>
      </c>
      <c r="D136" s="36"/>
      <c r="E136" s="36"/>
      <c r="F136" s="15">
        <v>1</v>
      </c>
      <c r="G136" s="47"/>
      <c r="H136" s="15">
        <v>1</v>
      </c>
      <c r="I136" s="46"/>
      <c r="J136" s="15">
        <v>3</v>
      </c>
      <c r="K136" s="46"/>
      <c r="L136" s="15">
        <v>3</v>
      </c>
      <c r="M136" s="46"/>
      <c r="N136" s="15">
        <v>3</v>
      </c>
      <c r="O136" s="46"/>
      <c r="P136" s="15">
        <v>3</v>
      </c>
      <c r="Q136" s="46"/>
      <c r="R136" s="15">
        <v>2</v>
      </c>
      <c r="S136" s="46"/>
    </row>
    <row r="137" spans="1:19">
      <c r="A137" s="38" t="s">
        <v>51</v>
      </c>
      <c r="B137" s="9" t="s">
        <v>52</v>
      </c>
      <c r="C137" s="10" t="s">
        <v>53</v>
      </c>
      <c r="D137" s="38" t="s">
        <v>14</v>
      </c>
      <c r="E137" s="38" t="s">
        <v>23</v>
      </c>
      <c r="F137" s="16">
        <v>3</v>
      </c>
      <c r="G137" s="43">
        <v>5.2222222222222223</v>
      </c>
      <c r="H137" s="16">
        <v>3</v>
      </c>
      <c r="I137" s="43">
        <v>5.4444444444444446</v>
      </c>
      <c r="J137" s="16">
        <v>3</v>
      </c>
      <c r="K137" s="43">
        <v>5</v>
      </c>
      <c r="L137" s="16">
        <v>3</v>
      </c>
      <c r="M137" s="43">
        <v>5.4444444444444446</v>
      </c>
      <c r="N137" s="16">
        <v>3</v>
      </c>
      <c r="O137" s="43">
        <v>5</v>
      </c>
      <c r="P137" s="16">
        <v>3</v>
      </c>
      <c r="Q137" s="45">
        <f t="shared" ref="Q137" si="28">SUM(P137:P145)/9</f>
        <v>5.7777777777777777</v>
      </c>
      <c r="R137" s="16">
        <v>2</v>
      </c>
      <c r="S137" s="45">
        <f t="shared" ref="S137" si="29" xml:space="preserve"> SUM(R137:R145)/9</f>
        <v>5.666666666666667</v>
      </c>
    </row>
    <row r="138" spans="1:19">
      <c r="A138" s="39"/>
      <c r="B138" s="9" t="s">
        <v>54</v>
      </c>
      <c r="C138" s="10" t="s">
        <v>55</v>
      </c>
      <c r="D138" s="39"/>
      <c r="E138" s="39"/>
      <c r="F138" s="16">
        <v>7</v>
      </c>
      <c r="G138" s="44"/>
      <c r="H138" s="16">
        <v>7</v>
      </c>
      <c r="I138" s="44"/>
      <c r="J138" s="16">
        <v>8</v>
      </c>
      <c r="K138" s="44"/>
      <c r="L138" s="16">
        <v>7</v>
      </c>
      <c r="M138" s="44"/>
      <c r="N138" s="16">
        <v>5</v>
      </c>
      <c r="O138" s="44"/>
      <c r="P138" s="16">
        <v>7</v>
      </c>
      <c r="Q138" s="46"/>
      <c r="R138" s="16">
        <v>6</v>
      </c>
      <c r="S138" s="46"/>
    </row>
    <row r="139" spans="1:19">
      <c r="A139" s="39"/>
      <c r="B139" s="9" t="s">
        <v>56</v>
      </c>
      <c r="C139" s="10" t="s">
        <v>57</v>
      </c>
      <c r="D139" s="39"/>
      <c r="E139" s="39"/>
      <c r="F139" s="16">
        <v>1</v>
      </c>
      <c r="G139" s="44"/>
      <c r="H139" s="16">
        <v>1</v>
      </c>
      <c r="I139" s="44"/>
      <c r="J139" s="16">
        <v>1</v>
      </c>
      <c r="K139" s="44"/>
      <c r="L139" s="16">
        <v>2</v>
      </c>
      <c r="M139" s="44"/>
      <c r="N139" s="16">
        <v>2</v>
      </c>
      <c r="O139" s="44"/>
      <c r="P139" s="16">
        <v>3</v>
      </c>
      <c r="Q139" s="46"/>
      <c r="R139" s="16">
        <v>3</v>
      </c>
      <c r="S139" s="46"/>
    </row>
    <row r="140" spans="1:19">
      <c r="A140" s="39"/>
      <c r="B140" s="9" t="s">
        <v>58</v>
      </c>
      <c r="C140" s="10" t="s">
        <v>59</v>
      </c>
      <c r="D140" s="39"/>
      <c r="E140" s="39"/>
      <c r="F140" s="16">
        <v>8</v>
      </c>
      <c r="G140" s="44"/>
      <c r="H140" s="16">
        <v>9</v>
      </c>
      <c r="I140" s="44"/>
      <c r="J140" s="16">
        <v>9</v>
      </c>
      <c r="K140" s="44"/>
      <c r="L140" s="16">
        <v>9</v>
      </c>
      <c r="M140" s="44"/>
      <c r="N140" s="16">
        <v>9</v>
      </c>
      <c r="O140" s="44"/>
      <c r="P140" s="16">
        <v>10</v>
      </c>
      <c r="Q140" s="46"/>
      <c r="R140" s="16">
        <v>10</v>
      </c>
      <c r="S140" s="46"/>
    </row>
    <row r="141" spans="1:19">
      <c r="A141" s="39"/>
      <c r="B141" s="9" t="s">
        <v>60</v>
      </c>
      <c r="C141" s="10" t="s">
        <v>94</v>
      </c>
      <c r="D141" s="39"/>
      <c r="E141" s="39"/>
      <c r="F141" s="16">
        <v>4</v>
      </c>
      <c r="G141" s="44"/>
      <c r="H141" s="16">
        <v>3</v>
      </c>
      <c r="I141" s="44"/>
      <c r="J141" s="16">
        <v>0</v>
      </c>
      <c r="K141" s="44"/>
      <c r="L141" s="16">
        <v>2</v>
      </c>
      <c r="M141" s="44"/>
      <c r="N141" s="16">
        <v>1</v>
      </c>
      <c r="O141" s="44"/>
      <c r="P141" s="16">
        <v>2</v>
      </c>
      <c r="Q141" s="46"/>
      <c r="R141" s="16">
        <v>2</v>
      </c>
      <c r="S141" s="46"/>
    </row>
    <row r="142" spans="1:19">
      <c r="A142" s="39"/>
      <c r="B142" s="9" t="s">
        <v>61</v>
      </c>
      <c r="C142" s="10" t="s">
        <v>93</v>
      </c>
      <c r="D142" s="39"/>
      <c r="E142" s="39"/>
      <c r="F142" s="16">
        <v>6</v>
      </c>
      <c r="G142" s="44"/>
      <c r="H142" s="16">
        <v>7</v>
      </c>
      <c r="I142" s="44"/>
      <c r="J142" s="16">
        <v>5</v>
      </c>
      <c r="K142" s="44"/>
      <c r="L142" s="16">
        <v>6</v>
      </c>
      <c r="M142" s="44"/>
      <c r="N142" s="16">
        <v>6</v>
      </c>
      <c r="O142" s="44"/>
      <c r="P142" s="16">
        <v>7</v>
      </c>
      <c r="Q142" s="46"/>
      <c r="R142" s="16">
        <v>7</v>
      </c>
      <c r="S142" s="46"/>
    </row>
    <row r="143" spans="1:19">
      <c r="A143" s="39"/>
      <c r="B143" s="9" t="s">
        <v>62</v>
      </c>
      <c r="C143" s="10" t="s">
        <v>65</v>
      </c>
      <c r="D143" s="39"/>
      <c r="E143" s="39"/>
      <c r="F143" s="16">
        <v>9</v>
      </c>
      <c r="G143" s="44"/>
      <c r="H143" s="16">
        <v>9</v>
      </c>
      <c r="I143" s="44"/>
      <c r="J143" s="16">
        <v>9</v>
      </c>
      <c r="K143" s="44"/>
      <c r="L143" s="16">
        <v>9</v>
      </c>
      <c r="M143" s="44"/>
      <c r="N143" s="16">
        <v>9</v>
      </c>
      <c r="O143" s="44"/>
      <c r="P143" s="16">
        <v>9</v>
      </c>
      <c r="Q143" s="46"/>
      <c r="R143" s="16">
        <v>9</v>
      </c>
      <c r="S143" s="46"/>
    </row>
    <row r="144" spans="1:19">
      <c r="A144" s="39"/>
      <c r="B144" s="9" t="s">
        <v>63</v>
      </c>
      <c r="C144" s="10" t="s">
        <v>66</v>
      </c>
      <c r="D144" s="39"/>
      <c r="E144" s="39"/>
      <c r="F144" s="16">
        <v>8</v>
      </c>
      <c r="G144" s="44"/>
      <c r="H144" s="16">
        <v>8</v>
      </c>
      <c r="I144" s="44"/>
      <c r="J144" s="16">
        <v>8</v>
      </c>
      <c r="K144" s="44"/>
      <c r="L144" s="16">
        <v>9</v>
      </c>
      <c r="M144" s="44"/>
      <c r="N144" s="16">
        <v>8</v>
      </c>
      <c r="O144" s="44"/>
      <c r="P144" s="16">
        <v>8</v>
      </c>
      <c r="Q144" s="46"/>
      <c r="R144" s="16">
        <v>9</v>
      </c>
      <c r="S144" s="46"/>
    </row>
    <row r="145" spans="1:19">
      <c r="A145" s="39"/>
      <c r="B145" s="9" t="s">
        <v>64</v>
      </c>
      <c r="C145" s="12" t="s">
        <v>67</v>
      </c>
      <c r="D145" s="39"/>
      <c r="E145" s="39"/>
      <c r="F145" s="16">
        <v>1</v>
      </c>
      <c r="G145" s="48"/>
      <c r="H145" s="16">
        <v>2</v>
      </c>
      <c r="I145" s="44"/>
      <c r="J145" s="16">
        <v>2</v>
      </c>
      <c r="K145" s="44"/>
      <c r="L145" s="16">
        <v>2</v>
      </c>
      <c r="M145" s="44"/>
      <c r="N145" s="16">
        <v>2</v>
      </c>
      <c r="O145" s="44"/>
      <c r="P145" s="16">
        <v>3</v>
      </c>
      <c r="Q145" s="46"/>
      <c r="R145" s="16">
        <v>3</v>
      </c>
      <c r="S145" s="46"/>
    </row>
    <row r="146" spans="1:19">
      <c r="A146" s="35" t="s">
        <v>51</v>
      </c>
      <c r="B146" s="2" t="s">
        <v>52</v>
      </c>
      <c r="C146" s="3" t="s">
        <v>53</v>
      </c>
      <c r="D146" s="35" t="s">
        <v>24</v>
      </c>
      <c r="E146" s="35" t="s">
        <v>25</v>
      </c>
      <c r="F146" s="15">
        <v>7</v>
      </c>
      <c r="G146" s="45">
        <v>3.4444444444444446</v>
      </c>
      <c r="H146" s="15">
        <v>6</v>
      </c>
      <c r="I146" s="45">
        <v>3.3333333333333335</v>
      </c>
      <c r="J146" s="15">
        <v>6</v>
      </c>
      <c r="K146" s="45">
        <v>3.4444444444444446</v>
      </c>
      <c r="L146" s="15">
        <v>6</v>
      </c>
      <c r="M146" s="45">
        <v>3.6666666666666665</v>
      </c>
      <c r="N146" s="15">
        <v>7</v>
      </c>
      <c r="O146" s="45">
        <v>3.4444444444444446</v>
      </c>
      <c r="P146" s="15">
        <v>7</v>
      </c>
      <c r="Q146" s="45">
        <f t="shared" ref="Q146" si="30">SUM(P146:P154)/9</f>
        <v>3.5555555555555554</v>
      </c>
      <c r="R146" s="15">
        <v>8</v>
      </c>
      <c r="S146" s="45">
        <f t="shared" ref="S146" si="31" xml:space="preserve"> SUM(R146:R154)/9</f>
        <v>3.6666666666666665</v>
      </c>
    </row>
    <row r="147" spans="1:19">
      <c r="A147" s="36"/>
      <c r="B147" s="2" t="s">
        <v>54</v>
      </c>
      <c r="C147" s="3" t="s">
        <v>55</v>
      </c>
      <c r="D147" s="36"/>
      <c r="E147" s="36"/>
      <c r="F147" s="15">
        <v>8</v>
      </c>
      <c r="G147" s="46"/>
      <c r="H147" s="15">
        <v>9</v>
      </c>
      <c r="I147" s="46"/>
      <c r="J147" s="15">
        <v>9</v>
      </c>
      <c r="K147" s="46"/>
      <c r="L147" s="15">
        <v>9</v>
      </c>
      <c r="M147" s="46"/>
      <c r="N147" s="15">
        <v>7</v>
      </c>
      <c r="O147" s="46"/>
      <c r="P147" s="15">
        <v>8</v>
      </c>
      <c r="Q147" s="46"/>
      <c r="R147" s="15">
        <v>8</v>
      </c>
      <c r="S147" s="46"/>
    </row>
    <row r="148" spans="1:19">
      <c r="A148" s="36"/>
      <c r="B148" s="2" t="s">
        <v>56</v>
      </c>
      <c r="C148" s="3" t="s">
        <v>57</v>
      </c>
      <c r="D148" s="36"/>
      <c r="E148" s="36"/>
      <c r="F148" s="15">
        <v>2</v>
      </c>
      <c r="G148" s="46"/>
      <c r="H148" s="15">
        <v>2</v>
      </c>
      <c r="I148" s="46"/>
      <c r="J148" s="15">
        <v>1</v>
      </c>
      <c r="K148" s="46"/>
      <c r="L148" s="15">
        <v>2</v>
      </c>
      <c r="M148" s="46"/>
      <c r="N148" s="15">
        <v>2</v>
      </c>
      <c r="O148" s="46"/>
      <c r="P148" s="15">
        <v>2</v>
      </c>
      <c r="Q148" s="46"/>
      <c r="R148" s="15">
        <v>2</v>
      </c>
      <c r="S148" s="46"/>
    </row>
    <row r="149" spans="1:19">
      <c r="A149" s="36"/>
      <c r="B149" s="2" t="s">
        <v>58</v>
      </c>
      <c r="C149" s="3" t="s">
        <v>59</v>
      </c>
      <c r="D149" s="36"/>
      <c r="E149" s="36"/>
      <c r="F149" s="15">
        <v>3</v>
      </c>
      <c r="G149" s="46"/>
      <c r="H149" s="15">
        <v>2</v>
      </c>
      <c r="I149" s="46"/>
      <c r="J149" s="15">
        <v>3</v>
      </c>
      <c r="K149" s="46"/>
      <c r="L149" s="15">
        <v>2</v>
      </c>
      <c r="M149" s="46"/>
      <c r="N149" s="15">
        <v>2</v>
      </c>
      <c r="O149" s="46"/>
      <c r="P149" s="15">
        <v>2</v>
      </c>
      <c r="Q149" s="46"/>
      <c r="R149" s="15">
        <v>3</v>
      </c>
      <c r="S149" s="46"/>
    </row>
    <row r="150" spans="1:19">
      <c r="A150" s="36"/>
      <c r="B150" s="2" t="s">
        <v>60</v>
      </c>
      <c r="C150" s="3" t="s">
        <v>94</v>
      </c>
      <c r="D150" s="36"/>
      <c r="E150" s="36"/>
      <c r="F150" s="15">
        <v>1</v>
      </c>
      <c r="G150" s="46"/>
      <c r="H150" s="15">
        <v>1</v>
      </c>
      <c r="I150" s="46"/>
      <c r="J150" s="15">
        <v>1</v>
      </c>
      <c r="K150" s="46"/>
      <c r="L150" s="15">
        <v>1</v>
      </c>
      <c r="M150" s="46"/>
      <c r="N150" s="15">
        <v>1</v>
      </c>
      <c r="O150" s="46"/>
      <c r="P150" s="15">
        <v>1</v>
      </c>
      <c r="Q150" s="46"/>
      <c r="R150" s="15">
        <v>1</v>
      </c>
      <c r="S150" s="46"/>
    </row>
    <row r="151" spans="1:19">
      <c r="A151" s="36"/>
      <c r="B151" s="2" t="s">
        <v>61</v>
      </c>
      <c r="C151" s="3" t="s">
        <v>93</v>
      </c>
      <c r="D151" s="36"/>
      <c r="E151" s="36"/>
      <c r="F151" s="15">
        <v>1</v>
      </c>
      <c r="G151" s="46"/>
      <c r="H151" s="15">
        <v>1</v>
      </c>
      <c r="I151" s="46"/>
      <c r="J151" s="15">
        <v>1</v>
      </c>
      <c r="K151" s="46"/>
      <c r="L151" s="15">
        <v>1</v>
      </c>
      <c r="M151" s="46"/>
      <c r="N151" s="15">
        <v>1</v>
      </c>
      <c r="O151" s="46"/>
      <c r="P151" s="15">
        <v>1</v>
      </c>
      <c r="Q151" s="46"/>
      <c r="R151" s="15">
        <v>1</v>
      </c>
      <c r="S151" s="46"/>
    </row>
    <row r="152" spans="1:19">
      <c r="A152" s="36"/>
      <c r="B152" s="2" t="s">
        <v>62</v>
      </c>
      <c r="C152" s="3" t="s">
        <v>65</v>
      </c>
      <c r="D152" s="36"/>
      <c r="E152" s="36"/>
      <c r="F152" s="15">
        <v>4</v>
      </c>
      <c r="G152" s="46"/>
      <c r="H152" s="15">
        <v>4</v>
      </c>
      <c r="I152" s="46"/>
      <c r="J152" s="15">
        <v>4</v>
      </c>
      <c r="K152" s="46"/>
      <c r="L152" s="15">
        <v>4</v>
      </c>
      <c r="M152" s="46"/>
      <c r="N152" s="15">
        <v>4</v>
      </c>
      <c r="O152" s="46"/>
      <c r="P152" s="15">
        <v>4</v>
      </c>
      <c r="Q152" s="46"/>
      <c r="R152" s="15">
        <v>4</v>
      </c>
      <c r="S152" s="46"/>
    </row>
    <row r="153" spans="1:19">
      <c r="A153" s="36"/>
      <c r="B153" s="2" t="s">
        <v>63</v>
      </c>
      <c r="C153" s="3" t="s">
        <v>66</v>
      </c>
      <c r="D153" s="36"/>
      <c r="E153" s="36"/>
      <c r="F153" s="15">
        <v>4</v>
      </c>
      <c r="G153" s="46"/>
      <c r="H153" s="15">
        <v>4</v>
      </c>
      <c r="I153" s="46"/>
      <c r="J153" s="15">
        <v>5</v>
      </c>
      <c r="K153" s="46"/>
      <c r="L153" s="15">
        <v>6</v>
      </c>
      <c r="M153" s="46"/>
      <c r="N153" s="15">
        <v>5</v>
      </c>
      <c r="O153" s="46"/>
      <c r="P153" s="15">
        <v>5</v>
      </c>
      <c r="Q153" s="46"/>
      <c r="R153" s="15">
        <v>5</v>
      </c>
      <c r="S153" s="46"/>
    </row>
    <row r="154" spans="1:19">
      <c r="A154" s="36"/>
      <c r="B154" s="2" t="s">
        <v>64</v>
      </c>
      <c r="C154" s="7" t="s">
        <v>67</v>
      </c>
      <c r="D154" s="36"/>
      <c r="E154" s="36"/>
      <c r="F154" s="15">
        <v>1</v>
      </c>
      <c r="G154" s="47"/>
      <c r="H154" s="15">
        <v>1</v>
      </c>
      <c r="I154" s="46"/>
      <c r="J154" s="15">
        <v>1</v>
      </c>
      <c r="K154" s="46"/>
      <c r="L154" s="15">
        <v>2</v>
      </c>
      <c r="M154" s="46"/>
      <c r="N154" s="15">
        <v>2</v>
      </c>
      <c r="O154" s="46"/>
      <c r="P154" s="15">
        <v>2</v>
      </c>
      <c r="Q154" s="46"/>
      <c r="R154" s="15">
        <v>1</v>
      </c>
      <c r="S154" s="46"/>
    </row>
    <row r="155" spans="1:19">
      <c r="A155" s="38" t="s">
        <v>51</v>
      </c>
      <c r="B155" s="9" t="s">
        <v>52</v>
      </c>
      <c r="C155" s="10" t="s">
        <v>53</v>
      </c>
      <c r="D155" s="38" t="s">
        <v>24</v>
      </c>
      <c r="E155" s="38" t="s">
        <v>26</v>
      </c>
      <c r="F155" s="16">
        <v>7</v>
      </c>
      <c r="G155" s="43">
        <v>5.1111111111111107</v>
      </c>
      <c r="H155" s="16">
        <v>7</v>
      </c>
      <c r="I155" s="43">
        <v>5.1111111111111107</v>
      </c>
      <c r="J155" s="16">
        <v>7</v>
      </c>
      <c r="K155" s="43">
        <v>5.1111111111111107</v>
      </c>
      <c r="L155" s="16">
        <v>7</v>
      </c>
      <c r="M155" s="43">
        <v>5.1111111111111107</v>
      </c>
      <c r="N155" s="16">
        <v>7</v>
      </c>
      <c r="O155" s="43">
        <v>4.666666666666667</v>
      </c>
      <c r="P155" s="16">
        <v>8</v>
      </c>
      <c r="Q155" s="45">
        <f t="shared" ref="Q155" si="32">SUM(P155:P163)/9</f>
        <v>5.4444444444444446</v>
      </c>
      <c r="R155" s="16">
        <v>7</v>
      </c>
      <c r="S155" s="45">
        <f t="shared" ref="S155" si="33" xml:space="preserve"> SUM(R155:R163)/9</f>
        <v>5.333333333333333</v>
      </c>
    </row>
    <row r="156" spans="1:19">
      <c r="A156" s="39"/>
      <c r="B156" s="9" t="s">
        <v>54</v>
      </c>
      <c r="C156" s="10" t="s">
        <v>55</v>
      </c>
      <c r="D156" s="39"/>
      <c r="E156" s="39"/>
      <c r="F156" s="16">
        <v>10</v>
      </c>
      <c r="G156" s="44"/>
      <c r="H156" s="16">
        <v>10</v>
      </c>
      <c r="I156" s="44"/>
      <c r="J156" s="16">
        <v>9</v>
      </c>
      <c r="K156" s="44"/>
      <c r="L156" s="16">
        <v>10</v>
      </c>
      <c r="M156" s="44"/>
      <c r="N156" s="16">
        <v>7</v>
      </c>
      <c r="O156" s="44"/>
      <c r="P156" s="16">
        <v>9</v>
      </c>
      <c r="Q156" s="46"/>
      <c r="R156" s="16">
        <v>9</v>
      </c>
      <c r="S156" s="46"/>
    </row>
    <row r="157" spans="1:19">
      <c r="A157" s="39"/>
      <c r="B157" s="9" t="s">
        <v>56</v>
      </c>
      <c r="C157" s="10" t="s">
        <v>57</v>
      </c>
      <c r="D157" s="39"/>
      <c r="E157" s="39"/>
      <c r="F157" s="16">
        <v>2</v>
      </c>
      <c r="G157" s="44"/>
      <c r="H157" s="16">
        <v>1</v>
      </c>
      <c r="I157" s="44"/>
      <c r="J157" s="16">
        <v>2</v>
      </c>
      <c r="K157" s="44"/>
      <c r="L157" s="16">
        <v>2</v>
      </c>
      <c r="M157" s="44"/>
      <c r="N157" s="16">
        <v>2</v>
      </c>
      <c r="O157" s="44"/>
      <c r="P157" s="16">
        <v>2</v>
      </c>
      <c r="Q157" s="46"/>
      <c r="R157" s="16">
        <v>2</v>
      </c>
      <c r="S157" s="46"/>
    </row>
    <row r="158" spans="1:19">
      <c r="A158" s="39"/>
      <c r="B158" s="9" t="s">
        <v>58</v>
      </c>
      <c r="C158" s="10" t="s">
        <v>59</v>
      </c>
      <c r="D158" s="39"/>
      <c r="E158" s="39"/>
      <c r="F158" s="16">
        <v>10</v>
      </c>
      <c r="G158" s="44"/>
      <c r="H158" s="16">
        <v>10</v>
      </c>
      <c r="I158" s="44"/>
      <c r="J158" s="16">
        <v>10</v>
      </c>
      <c r="K158" s="44"/>
      <c r="L158" s="16">
        <v>9</v>
      </c>
      <c r="M158" s="44"/>
      <c r="N158" s="16">
        <v>9</v>
      </c>
      <c r="O158" s="44"/>
      <c r="P158" s="16">
        <v>10</v>
      </c>
      <c r="Q158" s="46"/>
      <c r="R158" s="16">
        <v>10</v>
      </c>
      <c r="S158" s="46"/>
    </row>
    <row r="159" spans="1:19">
      <c r="A159" s="39"/>
      <c r="B159" s="9" t="s">
        <v>60</v>
      </c>
      <c r="C159" s="10" t="s">
        <v>94</v>
      </c>
      <c r="D159" s="39"/>
      <c r="E159" s="39"/>
      <c r="F159" s="16">
        <v>2</v>
      </c>
      <c r="G159" s="44"/>
      <c r="H159" s="16">
        <v>2</v>
      </c>
      <c r="I159" s="44"/>
      <c r="J159" s="16">
        <v>1</v>
      </c>
      <c r="K159" s="44"/>
      <c r="L159" s="16">
        <v>2</v>
      </c>
      <c r="M159" s="44"/>
      <c r="N159" s="16">
        <v>2</v>
      </c>
      <c r="O159" s="44"/>
      <c r="P159" s="16">
        <v>2</v>
      </c>
      <c r="Q159" s="46"/>
      <c r="R159" s="16">
        <v>3</v>
      </c>
      <c r="S159" s="46"/>
    </row>
    <row r="160" spans="1:19">
      <c r="A160" s="39"/>
      <c r="B160" s="9" t="s">
        <v>61</v>
      </c>
      <c r="C160" s="10" t="s">
        <v>93</v>
      </c>
      <c r="D160" s="39"/>
      <c r="E160" s="39"/>
      <c r="F160" s="16">
        <v>1</v>
      </c>
      <c r="G160" s="44"/>
      <c r="H160" s="16">
        <v>1</v>
      </c>
      <c r="I160" s="44"/>
      <c r="J160" s="16">
        <v>1</v>
      </c>
      <c r="K160" s="44"/>
      <c r="L160" s="16">
        <v>1</v>
      </c>
      <c r="M160" s="44"/>
      <c r="N160" s="16">
        <v>1</v>
      </c>
      <c r="O160" s="44"/>
      <c r="P160" s="16">
        <v>1</v>
      </c>
      <c r="Q160" s="46"/>
      <c r="R160" s="16">
        <v>1</v>
      </c>
      <c r="S160" s="46"/>
    </row>
    <row r="161" spans="1:19">
      <c r="A161" s="39"/>
      <c r="B161" s="9" t="s">
        <v>62</v>
      </c>
      <c r="C161" s="10" t="s">
        <v>65</v>
      </c>
      <c r="D161" s="39"/>
      <c r="E161" s="39"/>
      <c r="F161" s="16">
        <v>9</v>
      </c>
      <c r="G161" s="44"/>
      <c r="H161" s="16">
        <v>9</v>
      </c>
      <c r="I161" s="44"/>
      <c r="J161" s="16">
        <v>9</v>
      </c>
      <c r="K161" s="44"/>
      <c r="L161" s="16">
        <v>9</v>
      </c>
      <c r="M161" s="44"/>
      <c r="N161" s="16">
        <v>9</v>
      </c>
      <c r="O161" s="44"/>
      <c r="P161" s="16">
        <v>9</v>
      </c>
      <c r="Q161" s="46"/>
      <c r="R161" s="16">
        <v>9</v>
      </c>
      <c r="S161" s="46"/>
    </row>
    <row r="162" spans="1:19">
      <c r="A162" s="39"/>
      <c r="B162" s="9" t="s">
        <v>63</v>
      </c>
      <c r="C162" s="10" t="s">
        <v>66</v>
      </c>
      <c r="D162" s="39"/>
      <c r="E162" s="39"/>
      <c r="F162" s="16">
        <v>4</v>
      </c>
      <c r="G162" s="44"/>
      <c r="H162" s="16">
        <v>5</v>
      </c>
      <c r="I162" s="44"/>
      <c r="J162" s="16">
        <v>5</v>
      </c>
      <c r="K162" s="44"/>
      <c r="L162" s="16">
        <v>5</v>
      </c>
      <c r="M162" s="44"/>
      <c r="N162" s="16">
        <v>4</v>
      </c>
      <c r="O162" s="44"/>
      <c r="P162" s="16">
        <v>6</v>
      </c>
      <c r="Q162" s="46"/>
      <c r="R162" s="16">
        <v>5</v>
      </c>
      <c r="S162" s="46"/>
    </row>
    <row r="163" spans="1:19">
      <c r="A163" s="39"/>
      <c r="B163" s="9" t="s">
        <v>64</v>
      </c>
      <c r="C163" s="12" t="s">
        <v>67</v>
      </c>
      <c r="D163" s="39"/>
      <c r="E163" s="39"/>
      <c r="F163" s="16">
        <v>1</v>
      </c>
      <c r="G163" s="48"/>
      <c r="H163" s="16">
        <v>1</v>
      </c>
      <c r="I163" s="44"/>
      <c r="J163" s="16">
        <v>2</v>
      </c>
      <c r="K163" s="44"/>
      <c r="L163" s="16">
        <v>1</v>
      </c>
      <c r="M163" s="44"/>
      <c r="N163" s="16">
        <v>1</v>
      </c>
      <c r="O163" s="44"/>
      <c r="P163" s="16">
        <v>2</v>
      </c>
      <c r="Q163" s="46"/>
      <c r="R163" s="16">
        <v>2</v>
      </c>
      <c r="S163" s="46"/>
    </row>
    <row r="164" spans="1:19">
      <c r="A164" s="35" t="s">
        <v>51</v>
      </c>
      <c r="B164" s="2" t="s">
        <v>52</v>
      </c>
      <c r="C164" s="3" t="s">
        <v>53</v>
      </c>
      <c r="D164" s="35" t="s">
        <v>24</v>
      </c>
      <c r="E164" s="35" t="s">
        <v>27</v>
      </c>
      <c r="F164" s="15">
        <v>6</v>
      </c>
      <c r="G164" s="45">
        <v>3.1111111111111112</v>
      </c>
      <c r="H164" s="15">
        <v>5</v>
      </c>
      <c r="I164" s="45">
        <v>2.7777777777777777</v>
      </c>
      <c r="J164" s="15">
        <v>5</v>
      </c>
      <c r="K164" s="45">
        <v>3</v>
      </c>
      <c r="L164" s="15">
        <v>4</v>
      </c>
      <c r="M164" s="45">
        <v>2.8888888888888888</v>
      </c>
      <c r="N164" s="15">
        <v>5</v>
      </c>
      <c r="O164" s="45">
        <v>2.4444444444444446</v>
      </c>
      <c r="P164" s="15">
        <v>4</v>
      </c>
      <c r="Q164" s="45">
        <f t="shared" ref="Q164" si="34">SUM(P164:P172)/9</f>
        <v>3.4444444444444446</v>
      </c>
      <c r="R164" s="15">
        <v>4</v>
      </c>
      <c r="S164" s="45">
        <f t="shared" ref="S164" si="35" xml:space="preserve"> SUM(R164:R172)/9</f>
        <v>3.1111111111111112</v>
      </c>
    </row>
    <row r="165" spans="1:19">
      <c r="A165" s="36"/>
      <c r="B165" s="2" t="s">
        <v>54</v>
      </c>
      <c r="C165" s="3" t="s">
        <v>55</v>
      </c>
      <c r="D165" s="36"/>
      <c r="E165" s="36"/>
      <c r="F165" s="15">
        <v>7</v>
      </c>
      <c r="G165" s="46"/>
      <c r="H165" s="15">
        <v>5</v>
      </c>
      <c r="I165" s="46"/>
      <c r="J165" s="15">
        <v>6</v>
      </c>
      <c r="K165" s="46"/>
      <c r="L165" s="15">
        <v>6</v>
      </c>
      <c r="M165" s="46"/>
      <c r="N165" s="15">
        <v>1</v>
      </c>
      <c r="O165" s="46"/>
      <c r="P165" s="15">
        <v>5</v>
      </c>
      <c r="Q165" s="46"/>
      <c r="R165" s="15">
        <v>2</v>
      </c>
      <c r="S165" s="46"/>
    </row>
    <row r="166" spans="1:19">
      <c r="A166" s="36"/>
      <c r="B166" s="2" t="s">
        <v>56</v>
      </c>
      <c r="C166" s="3" t="s">
        <v>57</v>
      </c>
      <c r="D166" s="36"/>
      <c r="E166" s="36"/>
      <c r="F166" s="15">
        <v>2</v>
      </c>
      <c r="G166" s="46"/>
      <c r="H166" s="15">
        <v>2</v>
      </c>
      <c r="I166" s="46"/>
      <c r="J166" s="15">
        <v>2</v>
      </c>
      <c r="K166" s="46"/>
      <c r="L166" s="15">
        <v>2</v>
      </c>
      <c r="M166" s="46"/>
      <c r="N166" s="15">
        <v>2</v>
      </c>
      <c r="O166" s="46"/>
      <c r="P166" s="15">
        <v>2</v>
      </c>
      <c r="Q166" s="46"/>
      <c r="R166" s="15">
        <v>2</v>
      </c>
      <c r="S166" s="46"/>
    </row>
    <row r="167" spans="1:19">
      <c r="A167" s="36"/>
      <c r="B167" s="2" t="s">
        <v>58</v>
      </c>
      <c r="C167" s="3" t="s">
        <v>59</v>
      </c>
      <c r="D167" s="36"/>
      <c r="E167" s="36"/>
      <c r="F167" s="15">
        <v>2</v>
      </c>
      <c r="G167" s="46"/>
      <c r="H167" s="15">
        <v>2</v>
      </c>
      <c r="I167" s="46"/>
      <c r="J167" s="15">
        <v>2</v>
      </c>
      <c r="K167" s="46"/>
      <c r="L167" s="15">
        <v>1</v>
      </c>
      <c r="M167" s="46"/>
      <c r="N167" s="15">
        <v>1</v>
      </c>
      <c r="O167" s="46"/>
      <c r="P167" s="15">
        <v>5</v>
      </c>
      <c r="Q167" s="46"/>
      <c r="R167" s="15">
        <v>5</v>
      </c>
      <c r="S167" s="46"/>
    </row>
    <row r="168" spans="1:19">
      <c r="A168" s="36"/>
      <c r="B168" s="2" t="s">
        <v>60</v>
      </c>
      <c r="C168" s="3" t="s">
        <v>94</v>
      </c>
      <c r="D168" s="36"/>
      <c r="E168" s="36"/>
      <c r="F168" s="15">
        <v>1</v>
      </c>
      <c r="G168" s="46"/>
      <c r="H168" s="15">
        <v>1</v>
      </c>
      <c r="I168" s="46"/>
      <c r="J168" s="15">
        <v>1</v>
      </c>
      <c r="K168" s="46"/>
      <c r="L168" s="15">
        <v>1</v>
      </c>
      <c r="M168" s="46"/>
      <c r="N168" s="15">
        <v>1</v>
      </c>
      <c r="O168" s="46"/>
      <c r="P168" s="15">
        <v>1</v>
      </c>
      <c r="Q168" s="46"/>
      <c r="R168" s="15">
        <v>1</v>
      </c>
      <c r="S168" s="46"/>
    </row>
    <row r="169" spans="1:19">
      <c r="A169" s="36"/>
      <c r="B169" s="2" t="s">
        <v>61</v>
      </c>
      <c r="C169" s="3" t="s">
        <v>93</v>
      </c>
      <c r="D169" s="36"/>
      <c r="E169" s="36"/>
      <c r="F169" s="15">
        <v>1</v>
      </c>
      <c r="G169" s="46"/>
      <c r="H169" s="15">
        <v>1</v>
      </c>
      <c r="I169" s="46"/>
      <c r="J169" s="15">
        <v>1</v>
      </c>
      <c r="K169" s="46"/>
      <c r="L169" s="15">
        <v>1</v>
      </c>
      <c r="M169" s="46"/>
      <c r="N169" s="15">
        <v>1</v>
      </c>
      <c r="O169" s="46"/>
      <c r="P169" s="15">
        <v>1</v>
      </c>
      <c r="Q169" s="46"/>
      <c r="R169" s="15">
        <v>1</v>
      </c>
      <c r="S169" s="46"/>
    </row>
    <row r="170" spans="1:19">
      <c r="A170" s="36"/>
      <c r="B170" s="2" t="s">
        <v>62</v>
      </c>
      <c r="C170" s="3" t="s">
        <v>65</v>
      </c>
      <c r="D170" s="36"/>
      <c r="E170" s="36"/>
      <c r="F170" s="15">
        <v>2</v>
      </c>
      <c r="G170" s="46"/>
      <c r="H170" s="15">
        <v>2</v>
      </c>
      <c r="I170" s="46"/>
      <c r="J170" s="15">
        <v>2</v>
      </c>
      <c r="K170" s="46"/>
      <c r="L170" s="15">
        <v>2</v>
      </c>
      <c r="M170" s="46"/>
      <c r="N170" s="15">
        <v>2</v>
      </c>
      <c r="O170" s="46"/>
      <c r="P170" s="15">
        <v>4</v>
      </c>
      <c r="Q170" s="46"/>
      <c r="R170" s="15">
        <v>4</v>
      </c>
      <c r="S170" s="46"/>
    </row>
    <row r="171" spans="1:19">
      <c r="A171" s="36"/>
      <c r="B171" s="2" t="s">
        <v>63</v>
      </c>
      <c r="C171" s="3" t="s">
        <v>66</v>
      </c>
      <c r="D171" s="36"/>
      <c r="E171" s="36"/>
      <c r="F171" s="15">
        <v>5</v>
      </c>
      <c r="G171" s="46"/>
      <c r="H171" s="15">
        <v>5</v>
      </c>
      <c r="I171" s="46"/>
      <c r="J171" s="15">
        <v>6</v>
      </c>
      <c r="K171" s="46"/>
      <c r="L171" s="15">
        <v>7</v>
      </c>
      <c r="M171" s="46"/>
      <c r="N171" s="15">
        <v>7</v>
      </c>
      <c r="O171" s="46"/>
      <c r="P171" s="15">
        <v>7</v>
      </c>
      <c r="Q171" s="46"/>
      <c r="R171" s="15">
        <v>7</v>
      </c>
      <c r="S171" s="46"/>
    </row>
    <row r="172" spans="1:19">
      <c r="A172" s="36"/>
      <c r="B172" s="2" t="s">
        <v>64</v>
      </c>
      <c r="C172" s="7" t="s">
        <v>67</v>
      </c>
      <c r="D172" s="36"/>
      <c r="E172" s="36"/>
      <c r="F172" s="15">
        <v>2</v>
      </c>
      <c r="G172" s="47"/>
      <c r="H172" s="15">
        <v>2</v>
      </c>
      <c r="I172" s="46"/>
      <c r="J172" s="15">
        <v>2</v>
      </c>
      <c r="K172" s="46"/>
      <c r="L172" s="15">
        <v>2</v>
      </c>
      <c r="M172" s="46"/>
      <c r="N172" s="15">
        <v>2</v>
      </c>
      <c r="O172" s="46"/>
      <c r="P172" s="15">
        <v>2</v>
      </c>
      <c r="Q172" s="46"/>
      <c r="R172" s="15">
        <v>2</v>
      </c>
      <c r="S172" s="46"/>
    </row>
    <row r="173" spans="1:19">
      <c r="A173" s="38" t="s">
        <v>51</v>
      </c>
      <c r="B173" s="9" t="s">
        <v>52</v>
      </c>
      <c r="C173" s="10" t="s">
        <v>53</v>
      </c>
      <c r="D173" s="38" t="s">
        <v>24</v>
      </c>
      <c r="E173" s="38" t="s">
        <v>28</v>
      </c>
      <c r="F173" s="16">
        <v>8</v>
      </c>
      <c r="G173" s="43">
        <v>4.1111111111111107</v>
      </c>
      <c r="H173" s="16">
        <v>8</v>
      </c>
      <c r="I173" s="43">
        <v>4.1111111111111107</v>
      </c>
      <c r="J173" s="16">
        <v>7</v>
      </c>
      <c r="K173" s="43">
        <v>3.7777777777777777</v>
      </c>
      <c r="L173" s="16">
        <v>7</v>
      </c>
      <c r="M173" s="43">
        <v>3.5555555555555554</v>
      </c>
      <c r="N173" s="16">
        <v>8</v>
      </c>
      <c r="O173" s="43">
        <v>3.6666666666666665</v>
      </c>
      <c r="P173" s="16">
        <v>8</v>
      </c>
      <c r="Q173" s="45">
        <f t="shared" ref="Q173" si="36">SUM(P173:P181)/9</f>
        <v>4.2222222222222223</v>
      </c>
      <c r="R173" s="16">
        <v>8</v>
      </c>
      <c r="S173" s="45">
        <f t="shared" ref="S173" si="37" xml:space="preserve"> SUM(R173:R181)/9</f>
        <v>3.7777777777777777</v>
      </c>
    </row>
    <row r="174" spans="1:19">
      <c r="A174" s="39"/>
      <c r="B174" s="9" t="s">
        <v>54</v>
      </c>
      <c r="C174" s="10" t="s">
        <v>55</v>
      </c>
      <c r="D174" s="39"/>
      <c r="E174" s="39"/>
      <c r="F174" s="16">
        <v>7</v>
      </c>
      <c r="G174" s="44"/>
      <c r="H174" s="16">
        <v>8</v>
      </c>
      <c r="I174" s="44"/>
      <c r="J174" s="16">
        <v>4</v>
      </c>
      <c r="K174" s="44"/>
      <c r="L174" s="16">
        <v>3</v>
      </c>
      <c r="M174" s="44"/>
      <c r="N174" s="16">
        <v>2</v>
      </c>
      <c r="O174" s="44"/>
      <c r="P174" s="16">
        <v>6</v>
      </c>
      <c r="Q174" s="46"/>
      <c r="R174" s="16">
        <v>2</v>
      </c>
      <c r="S174" s="46"/>
    </row>
    <row r="175" spans="1:19">
      <c r="A175" s="39"/>
      <c r="B175" s="9" t="s">
        <v>56</v>
      </c>
      <c r="C175" s="10" t="s">
        <v>57</v>
      </c>
      <c r="D175" s="39"/>
      <c r="E175" s="39"/>
      <c r="F175" s="16">
        <v>1</v>
      </c>
      <c r="G175" s="44"/>
      <c r="H175" s="16">
        <v>1</v>
      </c>
      <c r="I175" s="44"/>
      <c r="J175" s="16">
        <v>1</v>
      </c>
      <c r="K175" s="44"/>
      <c r="L175" s="16">
        <v>1</v>
      </c>
      <c r="M175" s="44"/>
      <c r="N175" s="16">
        <v>1</v>
      </c>
      <c r="O175" s="44"/>
      <c r="P175" s="16">
        <v>1</v>
      </c>
      <c r="Q175" s="46"/>
      <c r="R175" s="16">
        <v>1</v>
      </c>
      <c r="S175" s="46"/>
    </row>
    <row r="176" spans="1:19">
      <c r="A176" s="39"/>
      <c r="B176" s="9" t="s">
        <v>58</v>
      </c>
      <c r="C176" s="10" t="s">
        <v>59</v>
      </c>
      <c r="D176" s="39"/>
      <c r="E176" s="39"/>
      <c r="F176" s="16">
        <v>9</v>
      </c>
      <c r="G176" s="44"/>
      <c r="H176" s="16">
        <v>9</v>
      </c>
      <c r="I176" s="44"/>
      <c r="J176" s="16">
        <v>9</v>
      </c>
      <c r="K176" s="44"/>
      <c r="L176" s="16">
        <v>9</v>
      </c>
      <c r="M176" s="44"/>
      <c r="N176" s="16">
        <v>9</v>
      </c>
      <c r="O176" s="44"/>
      <c r="P176" s="16">
        <v>10</v>
      </c>
      <c r="Q176" s="46"/>
      <c r="R176" s="16">
        <v>9</v>
      </c>
      <c r="S176" s="46"/>
    </row>
    <row r="177" spans="1:19">
      <c r="A177" s="39"/>
      <c r="B177" s="9" t="s">
        <v>60</v>
      </c>
      <c r="C177" s="10" t="s">
        <v>94</v>
      </c>
      <c r="D177" s="39"/>
      <c r="E177" s="39"/>
      <c r="F177" s="16">
        <v>1</v>
      </c>
      <c r="G177" s="44"/>
      <c r="H177" s="16">
        <v>1</v>
      </c>
      <c r="I177" s="44"/>
      <c r="J177" s="16">
        <v>1</v>
      </c>
      <c r="K177" s="44"/>
      <c r="L177" s="16">
        <v>1</v>
      </c>
      <c r="M177" s="44"/>
      <c r="N177" s="16">
        <v>1</v>
      </c>
      <c r="O177" s="44"/>
      <c r="P177" s="16">
        <v>1</v>
      </c>
      <c r="Q177" s="46"/>
      <c r="R177" s="16">
        <v>2</v>
      </c>
      <c r="S177" s="46"/>
    </row>
    <row r="178" spans="1:19">
      <c r="A178" s="39"/>
      <c r="B178" s="9" t="s">
        <v>61</v>
      </c>
      <c r="C178" s="10" t="s">
        <v>93</v>
      </c>
      <c r="D178" s="39"/>
      <c r="E178" s="39"/>
      <c r="F178" s="16">
        <v>1</v>
      </c>
      <c r="G178" s="44"/>
      <c r="H178" s="16">
        <v>1</v>
      </c>
      <c r="I178" s="44"/>
      <c r="J178" s="16">
        <v>1</v>
      </c>
      <c r="K178" s="44"/>
      <c r="L178" s="16">
        <v>1</v>
      </c>
      <c r="M178" s="44"/>
      <c r="N178" s="16">
        <v>1</v>
      </c>
      <c r="O178" s="44"/>
      <c r="P178" s="16">
        <v>1</v>
      </c>
      <c r="Q178" s="46"/>
      <c r="R178" s="16">
        <v>1</v>
      </c>
      <c r="S178" s="46"/>
    </row>
    <row r="179" spans="1:19">
      <c r="A179" s="39"/>
      <c r="B179" s="9" t="s">
        <v>62</v>
      </c>
      <c r="C179" s="10" t="s">
        <v>65</v>
      </c>
      <c r="D179" s="39"/>
      <c r="E179" s="39"/>
      <c r="F179" s="16">
        <v>6</v>
      </c>
      <c r="G179" s="44"/>
      <c r="H179" s="16">
        <v>6</v>
      </c>
      <c r="I179" s="44"/>
      <c r="J179" s="16">
        <v>6</v>
      </c>
      <c r="K179" s="44"/>
      <c r="L179" s="16">
        <v>6</v>
      </c>
      <c r="M179" s="44"/>
      <c r="N179" s="16">
        <v>6</v>
      </c>
      <c r="O179" s="44"/>
      <c r="P179" s="16">
        <v>6</v>
      </c>
      <c r="Q179" s="46"/>
      <c r="R179" s="16">
        <v>6</v>
      </c>
      <c r="S179" s="46"/>
    </row>
    <row r="180" spans="1:19">
      <c r="A180" s="39"/>
      <c r="B180" s="9" t="s">
        <v>63</v>
      </c>
      <c r="C180" s="10" t="s">
        <v>66</v>
      </c>
      <c r="D180" s="39"/>
      <c r="E180" s="39"/>
      <c r="F180" s="16">
        <v>3</v>
      </c>
      <c r="G180" s="44"/>
      <c r="H180" s="16">
        <v>2</v>
      </c>
      <c r="I180" s="44"/>
      <c r="J180" s="16">
        <v>4</v>
      </c>
      <c r="K180" s="44"/>
      <c r="L180" s="16">
        <v>3</v>
      </c>
      <c r="M180" s="44"/>
      <c r="N180" s="16">
        <v>4</v>
      </c>
      <c r="O180" s="44"/>
      <c r="P180" s="16">
        <v>4</v>
      </c>
      <c r="Q180" s="46"/>
      <c r="R180" s="16">
        <v>4</v>
      </c>
      <c r="S180" s="46"/>
    </row>
    <row r="181" spans="1:19">
      <c r="A181" s="39"/>
      <c r="B181" s="9" t="s">
        <v>64</v>
      </c>
      <c r="C181" s="12" t="s">
        <v>67</v>
      </c>
      <c r="D181" s="39"/>
      <c r="E181" s="39"/>
      <c r="F181" s="16">
        <v>1</v>
      </c>
      <c r="G181" s="48"/>
      <c r="H181" s="16">
        <v>1</v>
      </c>
      <c r="I181" s="44"/>
      <c r="J181" s="16">
        <v>1</v>
      </c>
      <c r="K181" s="44"/>
      <c r="L181" s="16">
        <v>1</v>
      </c>
      <c r="M181" s="44"/>
      <c r="N181" s="16">
        <v>1</v>
      </c>
      <c r="O181" s="44"/>
      <c r="P181" s="16">
        <v>1</v>
      </c>
      <c r="Q181" s="46"/>
      <c r="R181" s="16">
        <v>1</v>
      </c>
      <c r="S181" s="46"/>
    </row>
    <row r="182" spans="1:19">
      <c r="A182" s="35" t="s">
        <v>51</v>
      </c>
      <c r="B182" s="2" t="s">
        <v>52</v>
      </c>
      <c r="C182" s="3" t="s">
        <v>53</v>
      </c>
      <c r="D182" s="35" t="s">
        <v>29</v>
      </c>
      <c r="E182" s="35" t="s">
        <v>30</v>
      </c>
      <c r="F182" s="15">
        <v>7</v>
      </c>
      <c r="G182" s="45">
        <v>5.2222222222222223</v>
      </c>
      <c r="H182" s="15">
        <v>7</v>
      </c>
      <c r="I182" s="45">
        <v>5</v>
      </c>
      <c r="J182" s="15">
        <v>7</v>
      </c>
      <c r="K182" s="45">
        <v>4.666666666666667</v>
      </c>
      <c r="L182" s="15">
        <v>6</v>
      </c>
      <c r="M182" s="45">
        <v>4.7777777777777777</v>
      </c>
      <c r="N182" s="15">
        <v>6</v>
      </c>
      <c r="O182" s="45">
        <v>4.666666666666667</v>
      </c>
      <c r="P182" s="15">
        <v>8</v>
      </c>
      <c r="Q182" s="45">
        <f t="shared" ref="Q182" si="38">SUM(P182:P190)/9</f>
        <v>5.333333333333333</v>
      </c>
      <c r="R182" s="15">
        <v>6</v>
      </c>
      <c r="S182" s="45">
        <f t="shared" ref="S182" si="39" xml:space="preserve"> SUM(R182:R190)/9</f>
        <v>5.1111111111111107</v>
      </c>
    </row>
    <row r="183" spans="1:19">
      <c r="A183" s="36"/>
      <c r="B183" s="2" t="s">
        <v>54</v>
      </c>
      <c r="C183" s="3" t="s">
        <v>55</v>
      </c>
      <c r="D183" s="36"/>
      <c r="E183" s="36"/>
      <c r="F183" s="15">
        <v>9</v>
      </c>
      <c r="G183" s="46"/>
      <c r="H183" s="15">
        <v>6</v>
      </c>
      <c r="I183" s="46"/>
      <c r="J183" s="15">
        <v>3</v>
      </c>
      <c r="K183" s="46"/>
      <c r="L183" s="15">
        <v>4</v>
      </c>
      <c r="M183" s="46"/>
      <c r="N183" s="15">
        <v>5</v>
      </c>
      <c r="O183" s="46"/>
      <c r="P183" s="15">
        <v>8</v>
      </c>
      <c r="Q183" s="46"/>
      <c r="R183" s="15">
        <v>7</v>
      </c>
      <c r="S183" s="46"/>
    </row>
    <row r="184" spans="1:19">
      <c r="A184" s="36"/>
      <c r="B184" s="2" t="s">
        <v>56</v>
      </c>
      <c r="C184" s="3" t="s">
        <v>57</v>
      </c>
      <c r="D184" s="36"/>
      <c r="E184" s="36"/>
      <c r="F184" s="15">
        <v>3</v>
      </c>
      <c r="G184" s="46"/>
      <c r="H184" s="15">
        <v>4</v>
      </c>
      <c r="I184" s="46"/>
      <c r="J184" s="15">
        <v>4</v>
      </c>
      <c r="K184" s="46"/>
      <c r="L184" s="15">
        <v>4</v>
      </c>
      <c r="M184" s="46"/>
      <c r="N184" s="15">
        <v>3</v>
      </c>
      <c r="O184" s="46"/>
      <c r="P184" s="15">
        <v>4</v>
      </c>
      <c r="Q184" s="46"/>
      <c r="R184" s="15">
        <v>4</v>
      </c>
      <c r="S184" s="46"/>
    </row>
    <row r="185" spans="1:19">
      <c r="A185" s="36"/>
      <c r="B185" s="2" t="s">
        <v>58</v>
      </c>
      <c r="C185" s="3" t="s">
        <v>59</v>
      </c>
      <c r="D185" s="36"/>
      <c r="E185" s="36"/>
      <c r="F185" s="15">
        <v>10</v>
      </c>
      <c r="G185" s="46"/>
      <c r="H185" s="15">
        <v>10</v>
      </c>
      <c r="I185" s="46"/>
      <c r="J185" s="15">
        <v>10</v>
      </c>
      <c r="K185" s="46"/>
      <c r="L185" s="15">
        <v>10</v>
      </c>
      <c r="M185" s="46"/>
      <c r="N185" s="15">
        <v>10</v>
      </c>
      <c r="O185" s="46"/>
      <c r="P185" s="15">
        <v>10</v>
      </c>
      <c r="Q185" s="46"/>
      <c r="R185" s="15">
        <v>10</v>
      </c>
      <c r="S185" s="46"/>
    </row>
    <row r="186" spans="1:19">
      <c r="A186" s="36"/>
      <c r="B186" s="2" t="s">
        <v>60</v>
      </c>
      <c r="C186" s="3" t="s">
        <v>94</v>
      </c>
      <c r="D186" s="36"/>
      <c r="E186" s="36"/>
      <c r="F186" s="15">
        <v>1</v>
      </c>
      <c r="G186" s="46"/>
      <c r="H186" s="15">
        <v>1</v>
      </c>
      <c r="I186" s="46"/>
      <c r="J186" s="15">
        <v>1</v>
      </c>
      <c r="K186" s="46"/>
      <c r="L186" s="15">
        <v>1</v>
      </c>
      <c r="M186" s="46"/>
      <c r="N186" s="15">
        <v>1</v>
      </c>
      <c r="O186" s="46"/>
      <c r="P186" s="15">
        <v>1</v>
      </c>
      <c r="Q186" s="46"/>
      <c r="R186" s="15">
        <v>2</v>
      </c>
      <c r="S186" s="46"/>
    </row>
    <row r="187" spans="1:19">
      <c r="A187" s="36"/>
      <c r="B187" s="2" t="s">
        <v>61</v>
      </c>
      <c r="C187" s="3" t="s">
        <v>93</v>
      </c>
      <c r="D187" s="36"/>
      <c r="E187" s="36"/>
      <c r="F187" s="15">
        <v>1</v>
      </c>
      <c r="G187" s="46"/>
      <c r="H187" s="15">
        <v>1</v>
      </c>
      <c r="I187" s="46"/>
      <c r="J187" s="15">
        <v>1</v>
      </c>
      <c r="K187" s="46"/>
      <c r="L187" s="15">
        <v>1</v>
      </c>
      <c r="M187" s="46"/>
      <c r="N187" s="15">
        <v>1</v>
      </c>
      <c r="O187" s="46"/>
      <c r="P187" s="15">
        <v>1</v>
      </c>
      <c r="Q187" s="46"/>
      <c r="R187" s="15">
        <v>1</v>
      </c>
      <c r="S187" s="46"/>
    </row>
    <row r="188" spans="1:19">
      <c r="A188" s="36"/>
      <c r="B188" s="2" t="s">
        <v>62</v>
      </c>
      <c r="C188" s="3" t="s">
        <v>65</v>
      </c>
      <c r="D188" s="36"/>
      <c r="E188" s="36"/>
      <c r="F188" s="15">
        <v>9</v>
      </c>
      <c r="G188" s="46"/>
      <c r="H188" s="15">
        <v>9</v>
      </c>
      <c r="I188" s="46"/>
      <c r="J188" s="15">
        <v>9</v>
      </c>
      <c r="K188" s="46"/>
      <c r="L188" s="15">
        <v>9</v>
      </c>
      <c r="M188" s="46"/>
      <c r="N188" s="15">
        <v>9</v>
      </c>
      <c r="O188" s="46"/>
      <c r="P188" s="15">
        <v>9</v>
      </c>
      <c r="Q188" s="46"/>
      <c r="R188" s="15">
        <v>9</v>
      </c>
      <c r="S188" s="46"/>
    </row>
    <row r="189" spans="1:19">
      <c r="A189" s="36"/>
      <c r="B189" s="2" t="s">
        <v>63</v>
      </c>
      <c r="C189" s="3" t="s">
        <v>66</v>
      </c>
      <c r="D189" s="36"/>
      <c r="E189" s="36"/>
      <c r="F189" s="15">
        <v>4</v>
      </c>
      <c r="G189" s="46"/>
      <c r="H189" s="15">
        <v>4</v>
      </c>
      <c r="I189" s="46"/>
      <c r="J189" s="15">
        <v>4</v>
      </c>
      <c r="K189" s="46"/>
      <c r="L189" s="15">
        <v>5</v>
      </c>
      <c r="M189" s="46"/>
      <c r="N189" s="15">
        <v>4</v>
      </c>
      <c r="O189" s="46"/>
      <c r="P189" s="15">
        <v>4</v>
      </c>
      <c r="Q189" s="46"/>
      <c r="R189" s="15">
        <v>5</v>
      </c>
      <c r="S189" s="46"/>
    </row>
    <row r="190" spans="1:19">
      <c r="A190" s="36"/>
      <c r="B190" s="2" t="s">
        <v>64</v>
      </c>
      <c r="C190" s="7" t="s">
        <v>67</v>
      </c>
      <c r="D190" s="36"/>
      <c r="E190" s="36"/>
      <c r="F190" s="15">
        <v>3</v>
      </c>
      <c r="G190" s="47"/>
      <c r="H190" s="15">
        <v>3</v>
      </c>
      <c r="I190" s="46"/>
      <c r="J190" s="15">
        <v>3</v>
      </c>
      <c r="K190" s="46"/>
      <c r="L190" s="15">
        <v>3</v>
      </c>
      <c r="M190" s="46"/>
      <c r="N190" s="15">
        <v>3</v>
      </c>
      <c r="O190" s="46"/>
      <c r="P190" s="15">
        <v>3</v>
      </c>
      <c r="Q190" s="46"/>
      <c r="R190" s="15">
        <v>2</v>
      </c>
      <c r="S190" s="46"/>
    </row>
    <row r="191" spans="1:19">
      <c r="A191" s="38" t="s">
        <v>51</v>
      </c>
      <c r="B191" s="9" t="s">
        <v>52</v>
      </c>
      <c r="C191" s="10" t="s">
        <v>53</v>
      </c>
      <c r="D191" s="38" t="s">
        <v>29</v>
      </c>
      <c r="E191" s="38" t="s">
        <v>31</v>
      </c>
      <c r="F191" s="16">
        <v>5</v>
      </c>
      <c r="G191" s="43">
        <v>5.2222222222222223</v>
      </c>
      <c r="H191" s="16">
        <v>5</v>
      </c>
      <c r="I191" s="43">
        <v>5</v>
      </c>
      <c r="J191" s="16">
        <v>5</v>
      </c>
      <c r="K191" s="43">
        <v>5</v>
      </c>
      <c r="L191" s="16">
        <v>5</v>
      </c>
      <c r="M191" s="43">
        <v>5</v>
      </c>
      <c r="N191" s="16">
        <v>5</v>
      </c>
      <c r="O191" s="43">
        <v>4.5555555555555554</v>
      </c>
      <c r="P191" s="16">
        <v>4</v>
      </c>
      <c r="Q191" s="45">
        <f t="shared" ref="Q191" si="40">SUM(P191:P199)/9</f>
        <v>5.5555555555555554</v>
      </c>
      <c r="R191" s="16">
        <v>5</v>
      </c>
      <c r="S191" s="45">
        <f t="shared" ref="S191" si="41" xml:space="preserve"> SUM(R191:R199)/9</f>
        <v>5.4444444444444446</v>
      </c>
    </row>
    <row r="192" spans="1:19">
      <c r="A192" s="39"/>
      <c r="B192" s="9" t="s">
        <v>54</v>
      </c>
      <c r="C192" s="10" t="s">
        <v>55</v>
      </c>
      <c r="D192" s="39"/>
      <c r="E192" s="39"/>
      <c r="F192" s="16">
        <v>9</v>
      </c>
      <c r="G192" s="44"/>
      <c r="H192" s="16">
        <v>7</v>
      </c>
      <c r="I192" s="44"/>
      <c r="J192" s="16">
        <v>7</v>
      </c>
      <c r="K192" s="44"/>
      <c r="L192" s="16">
        <v>7</v>
      </c>
      <c r="M192" s="44"/>
      <c r="N192" s="16">
        <v>5</v>
      </c>
      <c r="O192" s="44"/>
      <c r="P192" s="16">
        <v>10</v>
      </c>
      <c r="Q192" s="46"/>
      <c r="R192" s="16">
        <v>9</v>
      </c>
      <c r="S192" s="46"/>
    </row>
    <row r="193" spans="1:19">
      <c r="A193" s="39"/>
      <c r="B193" s="9" t="s">
        <v>56</v>
      </c>
      <c r="C193" s="10" t="s">
        <v>57</v>
      </c>
      <c r="D193" s="39"/>
      <c r="E193" s="39"/>
      <c r="F193" s="16">
        <v>5</v>
      </c>
      <c r="G193" s="44"/>
      <c r="H193" s="16">
        <v>5</v>
      </c>
      <c r="I193" s="44"/>
      <c r="J193" s="16">
        <v>5</v>
      </c>
      <c r="K193" s="44"/>
      <c r="L193" s="16">
        <v>5</v>
      </c>
      <c r="M193" s="44"/>
      <c r="N193" s="16">
        <v>4</v>
      </c>
      <c r="O193" s="44"/>
      <c r="P193" s="16">
        <v>6</v>
      </c>
      <c r="Q193" s="46"/>
      <c r="R193" s="16">
        <v>6</v>
      </c>
      <c r="S193" s="46"/>
    </row>
    <row r="194" spans="1:19">
      <c r="A194" s="39"/>
      <c r="B194" s="9" t="s">
        <v>58</v>
      </c>
      <c r="C194" s="10" t="s">
        <v>59</v>
      </c>
      <c r="D194" s="39"/>
      <c r="E194" s="39"/>
      <c r="F194" s="16">
        <v>9</v>
      </c>
      <c r="G194" s="44"/>
      <c r="H194" s="16">
        <v>9</v>
      </c>
      <c r="I194" s="44"/>
      <c r="J194" s="16">
        <v>9</v>
      </c>
      <c r="K194" s="44"/>
      <c r="L194" s="16">
        <v>8</v>
      </c>
      <c r="M194" s="44"/>
      <c r="N194" s="16">
        <v>8</v>
      </c>
      <c r="O194" s="44"/>
      <c r="P194" s="16">
        <v>9</v>
      </c>
      <c r="Q194" s="46"/>
      <c r="R194" s="16">
        <v>9</v>
      </c>
      <c r="S194" s="46"/>
    </row>
    <row r="195" spans="1:19">
      <c r="A195" s="39"/>
      <c r="B195" s="9" t="s">
        <v>60</v>
      </c>
      <c r="C195" s="10" t="s">
        <v>94</v>
      </c>
      <c r="D195" s="39"/>
      <c r="E195" s="39"/>
      <c r="F195" s="16">
        <v>1</v>
      </c>
      <c r="G195" s="44"/>
      <c r="H195" s="16">
        <v>1</v>
      </c>
      <c r="I195" s="44"/>
      <c r="J195" s="16">
        <v>1</v>
      </c>
      <c r="K195" s="44"/>
      <c r="L195" s="16">
        <v>1</v>
      </c>
      <c r="M195" s="44"/>
      <c r="N195" s="16">
        <v>1</v>
      </c>
      <c r="O195" s="44"/>
      <c r="P195" s="16">
        <v>1</v>
      </c>
      <c r="Q195" s="46"/>
      <c r="R195" s="16">
        <v>1</v>
      </c>
      <c r="S195" s="46"/>
    </row>
    <row r="196" spans="1:19">
      <c r="A196" s="39"/>
      <c r="B196" s="9" t="s">
        <v>61</v>
      </c>
      <c r="C196" s="10" t="s">
        <v>93</v>
      </c>
      <c r="D196" s="39"/>
      <c r="E196" s="39"/>
      <c r="F196" s="16">
        <v>1</v>
      </c>
      <c r="G196" s="44"/>
      <c r="H196" s="16">
        <v>1</v>
      </c>
      <c r="I196" s="44"/>
      <c r="J196" s="16">
        <v>1</v>
      </c>
      <c r="K196" s="44"/>
      <c r="L196" s="16">
        <v>1</v>
      </c>
      <c r="M196" s="44"/>
      <c r="N196" s="16">
        <v>1</v>
      </c>
      <c r="O196" s="44"/>
      <c r="P196" s="16">
        <v>1</v>
      </c>
      <c r="Q196" s="46"/>
      <c r="R196" s="16">
        <v>1</v>
      </c>
      <c r="S196" s="46"/>
    </row>
    <row r="197" spans="1:19">
      <c r="A197" s="39"/>
      <c r="B197" s="9" t="s">
        <v>62</v>
      </c>
      <c r="C197" s="10" t="s">
        <v>65</v>
      </c>
      <c r="D197" s="39"/>
      <c r="E197" s="39"/>
      <c r="F197" s="16">
        <v>7</v>
      </c>
      <c r="G197" s="44"/>
      <c r="H197" s="16">
        <v>7</v>
      </c>
      <c r="I197" s="44"/>
      <c r="J197" s="16">
        <v>7</v>
      </c>
      <c r="K197" s="44"/>
      <c r="L197" s="16">
        <v>7</v>
      </c>
      <c r="M197" s="44"/>
      <c r="N197" s="16">
        <v>7</v>
      </c>
      <c r="O197" s="44"/>
      <c r="P197" s="16">
        <v>7</v>
      </c>
      <c r="Q197" s="46"/>
      <c r="R197" s="16">
        <v>7</v>
      </c>
      <c r="S197" s="46"/>
    </row>
    <row r="198" spans="1:19">
      <c r="A198" s="39"/>
      <c r="B198" s="9" t="s">
        <v>63</v>
      </c>
      <c r="C198" s="10" t="s">
        <v>66</v>
      </c>
      <c r="D198" s="39"/>
      <c r="E198" s="39"/>
      <c r="F198" s="16">
        <v>6</v>
      </c>
      <c r="G198" s="44"/>
      <c r="H198" s="16">
        <v>6</v>
      </c>
      <c r="I198" s="44"/>
      <c r="J198" s="16">
        <v>6</v>
      </c>
      <c r="K198" s="44"/>
      <c r="L198" s="16">
        <v>7</v>
      </c>
      <c r="M198" s="44"/>
      <c r="N198" s="16">
        <v>6</v>
      </c>
      <c r="O198" s="44"/>
      <c r="P198" s="16">
        <v>6</v>
      </c>
      <c r="Q198" s="46"/>
      <c r="R198" s="16">
        <v>6</v>
      </c>
      <c r="S198" s="46"/>
    </row>
    <row r="199" spans="1:19">
      <c r="A199" s="39"/>
      <c r="B199" s="9" t="s">
        <v>64</v>
      </c>
      <c r="C199" s="12" t="s">
        <v>67</v>
      </c>
      <c r="D199" s="39"/>
      <c r="E199" s="39"/>
      <c r="F199" s="16">
        <v>4</v>
      </c>
      <c r="G199" s="48"/>
      <c r="H199" s="16">
        <v>4</v>
      </c>
      <c r="I199" s="44"/>
      <c r="J199" s="16">
        <v>4</v>
      </c>
      <c r="K199" s="44"/>
      <c r="L199" s="16">
        <v>4</v>
      </c>
      <c r="M199" s="44"/>
      <c r="N199" s="16">
        <v>4</v>
      </c>
      <c r="O199" s="44"/>
      <c r="P199" s="16">
        <v>6</v>
      </c>
      <c r="Q199" s="46"/>
      <c r="R199" s="16">
        <v>5</v>
      </c>
      <c r="S199" s="46"/>
    </row>
    <row r="200" spans="1:19">
      <c r="A200" s="35" t="s">
        <v>51</v>
      </c>
      <c r="B200" s="2" t="s">
        <v>52</v>
      </c>
      <c r="C200" s="3" t="s">
        <v>53</v>
      </c>
      <c r="D200" s="35" t="s">
        <v>29</v>
      </c>
      <c r="E200" s="35" t="s">
        <v>32</v>
      </c>
      <c r="F200" s="15">
        <v>5</v>
      </c>
      <c r="G200" s="45">
        <v>4.8888888888888893</v>
      </c>
      <c r="H200" s="15">
        <v>5</v>
      </c>
      <c r="I200" s="45">
        <v>4.5555555555555554</v>
      </c>
      <c r="J200" s="15">
        <v>5</v>
      </c>
      <c r="K200" s="45">
        <v>4.333333333333333</v>
      </c>
      <c r="L200" s="15">
        <v>5</v>
      </c>
      <c r="M200" s="45">
        <v>4.666666666666667</v>
      </c>
      <c r="N200" s="15">
        <v>6</v>
      </c>
      <c r="O200" s="45">
        <v>4.333333333333333</v>
      </c>
      <c r="P200" s="15">
        <v>6</v>
      </c>
      <c r="Q200" s="45">
        <f t="shared" ref="Q200" si="42">SUM(P200:P208)/9</f>
        <v>4.333333333333333</v>
      </c>
      <c r="R200" s="15">
        <v>6</v>
      </c>
      <c r="S200" s="45">
        <f t="shared" ref="S200" si="43" xml:space="preserve"> SUM(R200:R208)/9</f>
        <v>4.5555555555555554</v>
      </c>
    </row>
    <row r="201" spans="1:19">
      <c r="A201" s="36"/>
      <c r="B201" s="2" t="s">
        <v>54</v>
      </c>
      <c r="C201" s="3" t="s">
        <v>55</v>
      </c>
      <c r="D201" s="36"/>
      <c r="E201" s="36"/>
      <c r="F201" s="15">
        <v>8</v>
      </c>
      <c r="G201" s="46"/>
      <c r="H201" s="15">
        <v>5</v>
      </c>
      <c r="I201" s="46"/>
      <c r="J201" s="15">
        <v>4</v>
      </c>
      <c r="K201" s="46"/>
      <c r="L201" s="15">
        <v>5</v>
      </c>
      <c r="M201" s="46"/>
      <c r="N201" s="15">
        <v>3</v>
      </c>
      <c r="O201" s="46"/>
      <c r="P201" s="15">
        <v>3</v>
      </c>
      <c r="Q201" s="46"/>
      <c r="R201" s="15">
        <v>3</v>
      </c>
      <c r="S201" s="46"/>
    </row>
    <row r="202" spans="1:19">
      <c r="A202" s="36"/>
      <c r="B202" s="2" t="s">
        <v>56</v>
      </c>
      <c r="C202" s="3" t="s">
        <v>57</v>
      </c>
      <c r="D202" s="36"/>
      <c r="E202" s="36"/>
      <c r="F202" s="15">
        <v>2</v>
      </c>
      <c r="G202" s="46"/>
      <c r="H202" s="15">
        <v>2</v>
      </c>
      <c r="I202" s="46"/>
      <c r="J202" s="15">
        <v>2</v>
      </c>
      <c r="K202" s="46"/>
      <c r="L202" s="15">
        <v>3</v>
      </c>
      <c r="M202" s="46"/>
      <c r="N202" s="15">
        <v>2</v>
      </c>
      <c r="O202" s="46"/>
      <c r="P202" s="15">
        <v>2</v>
      </c>
      <c r="Q202" s="46"/>
      <c r="R202" s="15">
        <v>3</v>
      </c>
      <c r="S202" s="46"/>
    </row>
    <row r="203" spans="1:19">
      <c r="A203" s="36"/>
      <c r="B203" s="2" t="s">
        <v>58</v>
      </c>
      <c r="C203" s="3" t="s">
        <v>59</v>
      </c>
      <c r="D203" s="36"/>
      <c r="E203" s="36"/>
      <c r="F203" s="15">
        <v>10</v>
      </c>
      <c r="G203" s="46"/>
      <c r="H203" s="15">
        <v>10</v>
      </c>
      <c r="I203" s="46"/>
      <c r="J203" s="15">
        <v>10</v>
      </c>
      <c r="K203" s="46"/>
      <c r="L203" s="15">
        <v>10</v>
      </c>
      <c r="M203" s="46"/>
      <c r="N203" s="15">
        <v>10</v>
      </c>
      <c r="O203" s="46"/>
      <c r="P203" s="15">
        <v>10</v>
      </c>
      <c r="Q203" s="46"/>
      <c r="R203" s="15">
        <v>10</v>
      </c>
      <c r="S203" s="46"/>
    </row>
    <row r="204" spans="1:19">
      <c r="A204" s="36"/>
      <c r="B204" s="2" t="s">
        <v>60</v>
      </c>
      <c r="C204" s="3" t="s">
        <v>94</v>
      </c>
      <c r="D204" s="36"/>
      <c r="E204" s="36"/>
      <c r="F204" s="15">
        <v>1</v>
      </c>
      <c r="G204" s="46"/>
      <c r="H204" s="15">
        <v>1</v>
      </c>
      <c r="I204" s="46"/>
      <c r="J204" s="15">
        <v>1</v>
      </c>
      <c r="K204" s="46"/>
      <c r="L204" s="15">
        <v>1</v>
      </c>
      <c r="M204" s="46"/>
      <c r="N204" s="15">
        <v>1</v>
      </c>
      <c r="O204" s="46"/>
      <c r="P204" s="15">
        <v>1</v>
      </c>
      <c r="Q204" s="46"/>
      <c r="R204" s="15">
        <v>1</v>
      </c>
      <c r="S204" s="46"/>
    </row>
    <row r="205" spans="1:19">
      <c r="A205" s="36"/>
      <c r="B205" s="2" t="s">
        <v>61</v>
      </c>
      <c r="C205" s="3" t="s">
        <v>93</v>
      </c>
      <c r="D205" s="36"/>
      <c r="E205" s="36"/>
      <c r="F205" s="15">
        <v>1</v>
      </c>
      <c r="G205" s="46"/>
      <c r="H205" s="15">
        <v>1</v>
      </c>
      <c r="I205" s="46"/>
      <c r="J205" s="15">
        <v>1</v>
      </c>
      <c r="K205" s="46"/>
      <c r="L205" s="15">
        <v>1</v>
      </c>
      <c r="M205" s="46"/>
      <c r="N205" s="15">
        <v>1</v>
      </c>
      <c r="O205" s="46"/>
      <c r="P205" s="15">
        <v>1</v>
      </c>
      <c r="Q205" s="46"/>
      <c r="R205" s="15">
        <v>1</v>
      </c>
      <c r="S205" s="46"/>
    </row>
    <row r="206" spans="1:19">
      <c r="A206" s="36"/>
      <c r="B206" s="2" t="s">
        <v>62</v>
      </c>
      <c r="C206" s="3" t="s">
        <v>65</v>
      </c>
      <c r="D206" s="36"/>
      <c r="E206" s="36"/>
      <c r="F206" s="15">
        <v>9</v>
      </c>
      <c r="G206" s="46"/>
      <c r="H206" s="15">
        <v>9</v>
      </c>
      <c r="I206" s="46"/>
      <c r="J206" s="15">
        <v>8</v>
      </c>
      <c r="K206" s="46"/>
      <c r="L206" s="15">
        <v>8</v>
      </c>
      <c r="M206" s="46"/>
      <c r="N206" s="15">
        <v>8</v>
      </c>
      <c r="O206" s="46"/>
      <c r="P206" s="15">
        <v>8</v>
      </c>
      <c r="Q206" s="46"/>
      <c r="R206" s="15">
        <v>8</v>
      </c>
      <c r="S206" s="46"/>
    </row>
    <row r="207" spans="1:19">
      <c r="A207" s="36"/>
      <c r="B207" s="2" t="s">
        <v>63</v>
      </c>
      <c r="C207" s="3" t="s">
        <v>66</v>
      </c>
      <c r="D207" s="36"/>
      <c r="E207" s="36"/>
      <c r="F207" s="15">
        <v>6</v>
      </c>
      <c r="G207" s="46"/>
      <c r="H207" s="15">
        <v>6</v>
      </c>
      <c r="I207" s="46"/>
      <c r="J207" s="15">
        <v>6</v>
      </c>
      <c r="K207" s="46"/>
      <c r="L207" s="15">
        <v>7</v>
      </c>
      <c r="M207" s="46"/>
      <c r="N207" s="15">
        <v>6</v>
      </c>
      <c r="O207" s="46"/>
      <c r="P207" s="15">
        <v>6</v>
      </c>
      <c r="Q207" s="46"/>
      <c r="R207" s="15">
        <v>6</v>
      </c>
      <c r="S207" s="46"/>
    </row>
    <row r="208" spans="1:19">
      <c r="A208" s="36"/>
      <c r="B208" s="2" t="s">
        <v>64</v>
      </c>
      <c r="C208" s="7" t="s">
        <v>67</v>
      </c>
      <c r="D208" s="36"/>
      <c r="E208" s="36"/>
      <c r="F208" s="15">
        <v>2</v>
      </c>
      <c r="G208" s="47"/>
      <c r="H208" s="15">
        <v>2</v>
      </c>
      <c r="I208" s="46"/>
      <c r="J208" s="15">
        <v>2</v>
      </c>
      <c r="K208" s="46"/>
      <c r="L208" s="15">
        <v>2</v>
      </c>
      <c r="M208" s="46"/>
      <c r="N208" s="15">
        <v>2</v>
      </c>
      <c r="O208" s="46"/>
      <c r="P208" s="15">
        <v>2</v>
      </c>
      <c r="Q208" s="46"/>
      <c r="R208" s="15">
        <v>3</v>
      </c>
      <c r="S208" s="46"/>
    </row>
    <row r="209" spans="1:19">
      <c r="A209" s="38" t="s">
        <v>51</v>
      </c>
      <c r="B209" s="9" t="s">
        <v>52</v>
      </c>
      <c r="C209" s="10" t="s">
        <v>53</v>
      </c>
      <c r="D209" s="38" t="s">
        <v>29</v>
      </c>
      <c r="E209" s="38" t="s">
        <v>33</v>
      </c>
      <c r="F209" s="16">
        <v>5</v>
      </c>
      <c r="G209" s="43">
        <v>5.333333333333333</v>
      </c>
      <c r="H209" s="16">
        <v>4</v>
      </c>
      <c r="I209" s="43">
        <v>5.333333333333333</v>
      </c>
      <c r="J209" s="16">
        <v>4</v>
      </c>
      <c r="K209" s="43">
        <v>5.5555555555555554</v>
      </c>
      <c r="L209" s="16">
        <v>4</v>
      </c>
      <c r="M209" s="43">
        <v>5.4444444444444446</v>
      </c>
      <c r="N209" s="16">
        <v>5</v>
      </c>
      <c r="O209" s="43">
        <v>5.1111111111111107</v>
      </c>
      <c r="P209" s="16">
        <v>4</v>
      </c>
      <c r="Q209" s="45">
        <f t="shared" ref="Q209" si="44">SUM(P209:P217)/9</f>
        <v>5.333333333333333</v>
      </c>
      <c r="R209" s="16">
        <v>4</v>
      </c>
      <c r="S209" s="45">
        <f t="shared" ref="S209" si="45" xml:space="preserve"> SUM(R209:R217)/9</f>
        <v>5.1111111111111107</v>
      </c>
    </row>
    <row r="210" spans="1:19">
      <c r="A210" s="39"/>
      <c r="B210" s="9" t="s">
        <v>54</v>
      </c>
      <c r="C210" s="10" t="s">
        <v>55</v>
      </c>
      <c r="D210" s="39"/>
      <c r="E210" s="39"/>
      <c r="F210" s="16">
        <v>8</v>
      </c>
      <c r="G210" s="44"/>
      <c r="H210" s="16">
        <v>9</v>
      </c>
      <c r="I210" s="44"/>
      <c r="J210" s="16">
        <v>9</v>
      </c>
      <c r="K210" s="44"/>
      <c r="L210" s="16">
        <v>7</v>
      </c>
      <c r="M210" s="44"/>
      <c r="N210" s="16">
        <v>5</v>
      </c>
      <c r="O210" s="44"/>
      <c r="P210" s="16">
        <v>7</v>
      </c>
      <c r="Q210" s="46"/>
      <c r="R210" s="16">
        <v>5</v>
      </c>
      <c r="S210" s="46"/>
    </row>
    <row r="211" spans="1:19">
      <c r="A211" s="39"/>
      <c r="B211" s="9" t="s">
        <v>56</v>
      </c>
      <c r="C211" s="10" t="s">
        <v>57</v>
      </c>
      <c r="D211" s="39"/>
      <c r="E211" s="39"/>
      <c r="F211" s="16">
        <v>1</v>
      </c>
      <c r="G211" s="44"/>
      <c r="H211" s="16">
        <v>1</v>
      </c>
      <c r="I211" s="44"/>
      <c r="J211" s="16">
        <v>1</v>
      </c>
      <c r="K211" s="44"/>
      <c r="L211" s="16">
        <v>1</v>
      </c>
      <c r="M211" s="44"/>
      <c r="N211" s="16">
        <v>1</v>
      </c>
      <c r="O211" s="44"/>
      <c r="P211" s="16">
        <v>1</v>
      </c>
      <c r="Q211" s="46"/>
      <c r="R211" s="16">
        <v>1</v>
      </c>
      <c r="S211" s="46"/>
    </row>
    <row r="212" spans="1:19">
      <c r="A212" s="39"/>
      <c r="B212" s="9" t="s">
        <v>58</v>
      </c>
      <c r="C212" s="10" t="s">
        <v>59</v>
      </c>
      <c r="D212" s="39"/>
      <c r="E212" s="39"/>
      <c r="F212" s="16">
        <v>10</v>
      </c>
      <c r="G212" s="44"/>
      <c r="H212" s="16">
        <v>10</v>
      </c>
      <c r="I212" s="44"/>
      <c r="J212" s="16">
        <v>10</v>
      </c>
      <c r="K212" s="44"/>
      <c r="L212" s="16">
        <v>10</v>
      </c>
      <c r="M212" s="44"/>
      <c r="N212" s="16">
        <v>10</v>
      </c>
      <c r="O212" s="44"/>
      <c r="P212" s="16">
        <v>10</v>
      </c>
      <c r="Q212" s="46"/>
      <c r="R212" s="16">
        <v>10</v>
      </c>
      <c r="S212" s="46"/>
    </row>
    <row r="213" spans="1:19">
      <c r="A213" s="39"/>
      <c r="B213" s="9" t="s">
        <v>60</v>
      </c>
      <c r="C213" s="10" t="s">
        <v>94</v>
      </c>
      <c r="D213" s="39"/>
      <c r="E213" s="39"/>
      <c r="F213" s="16">
        <v>10</v>
      </c>
      <c r="G213" s="44"/>
      <c r="H213" s="16">
        <v>10</v>
      </c>
      <c r="I213" s="44"/>
      <c r="J213" s="16">
        <v>10</v>
      </c>
      <c r="K213" s="44"/>
      <c r="L213" s="16">
        <v>10</v>
      </c>
      <c r="M213" s="44"/>
      <c r="N213" s="16">
        <v>10</v>
      </c>
      <c r="O213" s="44"/>
      <c r="P213" s="16">
        <v>10</v>
      </c>
      <c r="Q213" s="46"/>
      <c r="R213" s="16">
        <v>10</v>
      </c>
      <c r="S213" s="46"/>
    </row>
    <row r="214" spans="1:19">
      <c r="A214" s="39"/>
      <c r="B214" s="9" t="s">
        <v>61</v>
      </c>
      <c r="C214" s="10" t="s">
        <v>93</v>
      </c>
      <c r="D214" s="39"/>
      <c r="E214" s="39"/>
      <c r="F214" s="16">
        <v>1</v>
      </c>
      <c r="G214" s="44"/>
      <c r="H214" s="16">
        <v>1</v>
      </c>
      <c r="I214" s="44"/>
      <c r="J214" s="16">
        <v>1</v>
      </c>
      <c r="K214" s="44"/>
      <c r="L214" s="16">
        <v>1</v>
      </c>
      <c r="M214" s="44"/>
      <c r="N214" s="16">
        <v>1</v>
      </c>
      <c r="O214" s="44"/>
      <c r="P214" s="16">
        <v>1</v>
      </c>
      <c r="Q214" s="46"/>
      <c r="R214" s="16">
        <v>1</v>
      </c>
      <c r="S214" s="46"/>
    </row>
    <row r="215" spans="1:19">
      <c r="A215" s="39"/>
      <c r="B215" s="9" t="s">
        <v>62</v>
      </c>
      <c r="C215" s="10" t="s">
        <v>65</v>
      </c>
      <c r="D215" s="39"/>
      <c r="E215" s="39"/>
      <c r="F215" s="16">
        <v>7</v>
      </c>
      <c r="G215" s="44"/>
      <c r="H215" s="16">
        <v>7</v>
      </c>
      <c r="I215" s="44"/>
      <c r="J215" s="16">
        <v>9</v>
      </c>
      <c r="K215" s="44"/>
      <c r="L215" s="16">
        <v>9</v>
      </c>
      <c r="M215" s="44"/>
      <c r="N215" s="16">
        <v>8</v>
      </c>
      <c r="O215" s="44"/>
      <c r="P215" s="16">
        <v>8</v>
      </c>
      <c r="Q215" s="46"/>
      <c r="R215" s="16">
        <v>8</v>
      </c>
      <c r="S215" s="46"/>
    </row>
    <row r="216" spans="1:19">
      <c r="A216" s="39"/>
      <c r="B216" s="9" t="s">
        <v>63</v>
      </c>
      <c r="C216" s="10" t="s">
        <v>66</v>
      </c>
      <c r="D216" s="39"/>
      <c r="E216" s="39"/>
      <c r="F216" s="16">
        <v>5</v>
      </c>
      <c r="G216" s="44"/>
      <c r="H216" s="16">
        <v>5</v>
      </c>
      <c r="I216" s="44"/>
      <c r="J216" s="16">
        <v>5</v>
      </c>
      <c r="K216" s="44"/>
      <c r="L216" s="16">
        <v>6</v>
      </c>
      <c r="M216" s="44"/>
      <c r="N216" s="16">
        <v>5</v>
      </c>
      <c r="O216" s="44"/>
      <c r="P216" s="16">
        <v>6</v>
      </c>
      <c r="Q216" s="46"/>
      <c r="R216" s="16">
        <v>6</v>
      </c>
      <c r="S216" s="46"/>
    </row>
    <row r="217" spans="1:19">
      <c r="A217" s="39"/>
      <c r="B217" s="9" t="s">
        <v>64</v>
      </c>
      <c r="C217" s="12" t="s">
        <v>67</v>
      </c>
      <c r="D217" s="39"/>
      <c r="E217" s="39"/>
      <c r="F217" s="16">
        <v>1</v>
      </c>
      <c r="G217" s="48"/>
      <c r="H217" s="16">
        <v>1</v>
      </c>
      <c r="I217" s="44"/>
      <c r="J217" s="16">
        <v>1</v>
      </c>
      <c r="K217" s="44"/>
      <c r="L217" s="16">
        <v>1</v>
      </c>
      <c r="M217" s="44"/>
      <c r="N217" s="16">
        <v>1</v>
      </c>
      <c r="O217" s="44"/>
      <c r="P217" s="16">
        <v>1</v>
      </c>
      <c r="Q217" s="46"/>
      <c r="R217" s="16">
        <v>1</v>
      </c>
      <c r="S217" s="46"/>
    </row>
    <row r="218" spans="1:19">
      <c r="A218" s="35" t="s">
        <v>51</v>
      </c>
      <c r="B218" s="2" t="s">
        <v>52</v>
      </c>
      <c r="C218" s="3" t="s">
        <v>53</v>
      </c>
      <c r="D218" s="35" t="s">
        <v>34</v>
      </c>
      <c r="E218" s="35" t="s">
        <v>35</v>
      </c>
      <c r="F218" s="15">
        <v>7</v>
      </c>
      <c r="G218" s="45">
        <v>5.5555555555555554</v>
      </c>
      <c r="H218" s="15">
        <v>8</v>
      </c>
      <c r="I218" s="45">
        <v>5.5555555555555554</v>
      </c>
      <c r="J218" s="15">
        <v>7</v>
      </c>
      <c r="K218" s="45">
        <v>5.4444444444444446</v>
      </c>
      <c r="L218" s="15">
        <v>7</v>
      </c>
      <c r="M218" s="45">
        <v>5.333333333333333</v>
      </c>
      <c r="N218" s="15">
        <v>8</v>
      </c>
      <c r="O218" s="45">
        <v>5.4444444444444446</v>
      </c>
      <c r="P218" s="15">
        <v>8</v>
      </c>
      <c r="Q218" s="45">
        <f t="shared" ref="Q218" si="46">SUM(P218:P226)/9</f>
        <v>5.666666666666667</v>
      </c>
      <c r="R218" s="15">
        <v>8</v>
      </c>
      <c r="S218" s="45">
        <f t="shared" ref="S218" si="47" xml:space="preserve"> SUM(R218:R226)/9</f>
        <v>5.666666666666667</v>
      </c>
    </row>
    <row r="219" spans="1:19">
      <c r="A219" s="36"/>
      <c r="B219" s="2" t="s">
        <v>54</v>
      </c>
      <c r="C219" s="3" t="s">
        <v>55</v>
      </c>
      <c r="D219" s="36"/>
      <c r="E219" s="36"/>
      <c r="F219" s="15">
        <v>10</v>
      </c>
      <c r="G219" s="46"/>
      <c r="H219" s="15">
        <v>10</v>
      </c>
      <c r="I219" s="46"/>
      <c r="J219" s="15">
        <v>10</v>
      </c>
      <c r="K219" s="46"/>
      <c r="L219" s="15">
        <v>10</v>
      </c>
      <c r="M219" s="46"/>
      <c r="N219" s="15">
        <v>9</v>
      </c>
      <c r="O219" s="46"/>
      <c r="P219" s="15">
        <v>9</v>
      </c>
      <c r="Q219" s="46"/>
      <c r="R219" s="15">
        <v>9</v>
      </c>
      <c r="S219" s="46"/>
    </row>
    <row r="220" spans="1:19">
      <c r="A220" s="36"/>
      <c r="B220" s="2" t="s">
        <v>56</v>
      </c>
      <c r="C220" s="3" t="s">
        <v>57</v>
      </c>
      <c r="D220" s="36"/>
      <c r="E220" s="36"/>
      <c r="F220" s="15">
        <v>5</v>
      </c>
      <c r="G220" s="46"/>
      <c r="H220" s="15">
        <v>4</v>
      </c>
      <c r="I220" s="46"/>
      <c r="J220" s="15">
        <v>4</v>
      </c>
      <c r="K220" s="46"/>
      <c r="L220" s="15">
        <v>3</v>
      </c>
      <c r="M220" s="46"/>
      <c r="N220" s="15">
        <v>4</v>
      </c>
      <c r="O220" s="46"/>
      <c r="P220" s="15">
        <v>5</v>
      </c>
      <c r="Q220" s="46"/>
      <c r="R220" s="15">
        <v>5</v>
      </c>
      <c r="S220" s="46"/>
    </row>
    <row r="221" spans="1:19">
      <c r="A221" s="36"/>
      <c r="B221" s="2" t="s">
        <v>58</v>
      </c>
      <c r="C221" s="3" t="s">
        <v>59</v>
      </c>
      <c r="D221" s="36"/>
      <c r="E221" s="36"/>
      <c r="F221" s="15">
        <v>10</v>
      </c>
      <c r="G221" s="46"/>
      <c r="H221" s="15">
        <v>10</v>
      </c>
      <c r="I221" s="46"/>
      <c r="J221" s="15">
        <v>10</v>
      </c>
      <c r="K221" s="46"/>
      <c r="L221" s="15">
        <v>10</v>
      </c>
      <c r="M221" s="46"/>
      <c r="N221" s="15">
        <v>10</v>
      </c>
      <c r="O221" s="46"/>
      <c r="P221" s="15">
        <v>10</v>
      </c>
      <c r="Q221" s="46"/>
      <c r="R221" s="15">
        <v>10</v>
      </c>
      <c r="S221" s="46"/>
    </row>
    <row r="222" spans="1:19">
      <c r="A222" s="36"/>
      <c r="B222" s="2" t="s">
        <v>60</v>
      </c>
      <c r="C222" s="3" t="s">
        <v>94</v>
      </c>
      <c r="D222" s="36"/>
      <c r="E222" s="36"/>
      <c r="F222" s="15">
        <v>1</v>
      </c>
      <c r="G222" s="46"/>
      <c r="H222" s="15">
        <v>1</v>
      </c>
      <c r="I222" s="46"/>
      <c r="J222" s="15">
        <v>1</v>
      </c>
      <c r="K222" s="46"/>
      <c r="L222" s="15">
        <v>1</v>
      </c>
      <c r="M222" s="46"/>
      <c r="N222" s="15">
        <v>1</v>
      </c>
      <c r="O222" s="46"/>
      <c r="P222" s="15">
        <v>1</v>
      </c>
      <c r="Q222" s="46"/>
      <c r="R222" s="15">
        <v>1</v>
      </c>
      <c r="S222" s="46"/>
    </row>
    <row r="223" spans="1:19">
      <c r="A223" s="36"/>
      <c r="B223" s="2" t="s">
        <v>61</v>
      </c>
      <c r="C223" s="3" t="s">
        <v>93</v>
      </c>
      <c r="D223" s="36"/>
      <c r="E223" s="36"/>
      <c r="F223" s="15">
        <v>1</v>
      </c>
      <c r="G223" s="46"/>
      <c r="H223" s="15">
        <v>1</v>
      </c>
      <c r="I223" s="46"/>
      <c r="J223" s="15">
        <v>1</v>
      </c>
      <c r="K223" s="46"/>
      <c r="L223" s="15">
        <v>1</v>
      </c>
      <c r="M223" s="46"/>
      <c r="N223" s="15">
        <v>1</v>
      </c>
      <c r="O223" s="46"/>
      <c r="P223" s="15">
        <v>1</v>
      </c>
      <c r="Q223" s="46"/>
      <c r="R223" s="15">
        <v>1</v>
      </c>
      <c r="S223" s="46"/>
    </row>
    <row r="224" spans="1:19">
      <c r="A224" s="36"/>
      <c r="B224" s="2" t="s">
        <v>62</v>
      </c>
      <c r="C224" s="3" t="s">
        <v>65</v>
      </c>
      <c r="D224" s="36"/>
      <c r="E224" s="36"/>
      <c r="F224" s="15">
        <v>10</v>
      </c>
      <c r="G224" s="46"/>
      <c r="H224" s="15">
        <v>10</v>
      </c>
      <c r="I224" s="46"/>
      <c r="J224" s="15">
        <v>10</v>
      </c>
      <c r="K224" s="46"/>
      <c r="L224" s="15">
        <v>10</v>
      </c>
      <c r="M224" s="46"/>
      <c r="N224" s="15">
        <v>10</v>
      </c>
      <c r="O224" s="46"/>
      <c r="P224" s="15">
        <v>10</v>
      </c>
      <c r="Q224" s="46"/>
      <c r="R224" s="15">
        <v>10</v>
      </c>
      <c r="S224" s="46"/>
    </row>
    <row r="225" spans="1:19">
      <c r="A225" s="36"/>
      <c r="B225" s="2" t="s">
        <v>63</v>
      </c>
      <c r="C225" s="3" t="s">
        <v>66</v>
      </c>
      <c r="D225" s="36"/>
      <c r="E225" s="36"/>
      <c r="F225" s="15">
        <v>3</v>
      </c>
      <c r="G225" s="46"/>
      <c r="H225" s="15">
        <v>3</v>
      </c>
      <c r="I225" s="46"/>
      <c r="J225" s="15">
        <v>4</v>
      </c>
      <c r="K225" s="46"/>
      <c r="L225" s="15">
        <v>4</v>
      </c>
      <c r="M225" s="46"/>
      <c r="N225" s="15">
        <v>3</v>
      </c>
      <c r="O225" s="46"/>
      <c r="P225" s="15">
        <v>3</v>
      </c>
      <c r="Q225" s="46"/>
      <c r="R225" s="15">
        <v>4</v>
      </c>
      <c r="S225" s="46"/>
    </row>
    <row r="226" spans="1:19">
      <c r="A226" s="36"/>
      <c r="B226" s="2" t="s">
        <v>64</v>
      </c>
      <c r="C226" s="7" t="s">
        <v>67</v>
      </c>
      <c r="D226" s="36"/>
      <c r="E226" s="36"/>
      <c r="F226" s="15">
        <v>3</v>
      </c>
      <c r="G226" s="47"/>
      <c r="H226" s="15">
        <v>3</v>
      </c>
      <c r="I226" s="46"/>
      <c r="J226" s="15">
        <v>2</v>
      </c>
      <c r="K226" s="46"/>
      <c r="L226" s="15">
        <v>2</v>
      </c>
      <c r="M226" s="46"/>
      <c r="N226" s="15">
        <v>3</v>
      </c>
      <c r="O226" s="46"/>
      <c r="P226" s="15">
        <v>4</v>
      </c>
      <c r="Q226" s="46"/>
      <c r="R226" s="15">
        <v>3</v>
      </c>
      <c r="S226" s="46"/>
    </row>
    <row r="227" spans="1:19">
      <c r="A227" s="38" t="s">
        <v>51</v>
      </c>
      <c r="B227" s="9" t="s">
        <v>52</v>
      </c>
      <c r="C227" s="10" t="s">
        <v>53</v>
      </c>
      <c r="D227" s="38" t="s">
        <v>34</v>
      </c>
      <c r="E227" s="38" t="s">
        <v>36</v>
      </c>
      <c r="F227" s="16">
        <v>10</v>
      </c>
      <c r="G227" s="43">
        <v>4.7777777777777777</v>
      </c>
      <c r="H227" s="16">
        <v>10</v>
      </c>
      <c r="I227" s="43">
        <v>4.7777777777777777</v>
      </c>
      <c r="J227" s="16">
        <v>10</v>
      </c>
      <c r="K227" s="43">
        <v>4.8888888888888893</v>
      </c>
      <c r="L227" s="16">
        <v>10</v>
      </c>
      <c r="M227" s="43">
        <v>4.7777777777777777</v>
      </c>
      <c r="N227" s="16">
        <v>10</v>
      </c>
      <c r="O227" s="43">
        <v>4.8888888888888893</v>
      </c>
      <c r="P227" s="16">
        <v>10</v>
      </c>
      <c r="Q227" s="45">
        <f t="shared" ref="Q227" si="48">SUM(P227:P235)/9</f>
        <v>5.1111111111111107</v>
      </c>
      <c r="R227" s="16">
        <v>10</v>
      </c>
      <c r="S227" s="45">
        <f t="shared" ref="S227" si="49" xml:space="preserve"> SUM(R227:R235)/9</f>
        <v>5</v>
      </c>
    </row>
    <row r="228" spans="1:19">
      <c r="A228" s="39"/>
      <c r="B228" s="9" t="s">
        <v>54</v>
      </c>
      <c r="C228" s="10" t="s">
        <v>55</v>
      </c>
      <c r="D228" s="39"/>
      <c r="E228" s="39"/>
      <c r="F228" s="16">
        <v>10</v>
      </c>
      <c r="G228" s="44"/>
      <c r="H228" s="16">
        <v>10</v>
      </c>
      <c r="I228" s="44"/>
      <c r="J228" s="16">
        <v>10</v>
      </c>
      <c r="K228" s="44"/>
      <c r="L228" s="16">
        <v>10</v>
      </c>
      <c r="M228" s="44"/>
      <c r="N228" s="16">
        <v>10</v>
      </c>
      <c r="O228" s="44"/>
      <c r="P228" s="16">
        <v>10</v>
      </c>
      <c r="Q228" s="46"/>
      <c r="R228" s="16">
        <v>9</v>
      </c>
      <c r="S228" s="46"/>
    </row>
    <row r="229" spans="1:19">
      <c r="A229" s="39"/>
      <c r="B229" s="9" t="s">
        <v>56</v>
      </c>
      <c r="C229" s="10" t="s">
        <v>57</v>
      </c>
      <c r="D229" s="39"/>
      <c r="E229" s="39"/>
      <c r="F229" s="16">
        <v>2</v>
      </c>
      <c r="G229" s="44"/>
      <c r="H229" s="16">
        <v>1</v>
      </c>
      <c r="I229" s="44"/>
      <c r="J229" s="16">
        <v>2</v>
      </c>
      <c r="K229" s="44"/>
      <c r="L229" s="16">
        <v>2</v>
      </c>
      <c r="M229" s="44"/>
      <c r="N229" s="16">
        <v>2</v>
      </c>
      <c r="O229" s="44"/>
      <c r="P229" s="16">
        <v>3</v>
      </c>
      <c r="Q229" s="46"/>
      <c r="R229" s="16">
        <v>3</v>
      </c>
      <c r="S229" s="46"/>
    </row>
    <row r="230" spans="1:19">
      <c r="A230" s="39"/>
      <c r="B230" s="9" t="s">
        <v>58</v>
      </c>
      <c r="C230" s="10" t="s">
        <v>59</v>
      </c>
      <c r="D230" s="39"/>
      <c r="E230" s="39"/>
      <c r="F230" s="16">
        <v>8</v>
      </c>
      <c r="G230" s="44"/>
      <c r="H230" s="16">
        <v>9</v>
      </c>
      <c r="I230" s="44"/>
      <c r="J230" s="16">
        <v>8</v>
      </c>
      <c r="K230" s="44"/>
      <c r="L230" s="16">
        <v>8</v>
      </c>
      <c r="M230" s="44"/>
      <c r="N230" s="16">
        <v>9</v>
      </c>
      <c r="O230" s="44"/>
      <c r="P230" s="16">
        <v>9</v>
      </c>
      <c r="Q230" s="46"/>
      <c r="R230" s="16">
        <v>9</v>
      </c>
      <c r="S230" s="46"/>
    </row>
    <row r="231" spans="1:19">
      <c r="A231" s="39"/>
      <c r="B231" s="9" t="s">
        <v>60</v>
      </c>
      <c r="C231" s="10" t="s">
        <v>94</v>
      </c>
      <c r="D231" s="39"/>
      <c r="E231" s="39"/>
      <c r="F231" s="16">
        <v>1</v>
      </c>
      <c r="G231" s="44"/>
      <c r="H231" s="16">
        <v>1</v>
      </c>
      <c r="I231" s="44"/>
      <c r="J231" s="16">
        <v>1</v>
      </c>
      <c r="K231" s="44"/>
      <c r="L231" s="16">
        <v>1</v>
      </c>
      <c r="M231" s="44"/>
      <c r="N231" s="16">
        <v>1</v>
      </c>
      <c r="O231" s="44"/>
      <c r="P231" s="16">
        <v>1</v>
      </c>
      <c r="Q231" s="46"/>
      <c r="R231" s="16">
        <v>1</v>
      </c>
      <c r="S231" s="46"/>
    </row>
    <row r="232" spans="1:19">
      <c r="A232" s="39"/>
      <c r="B232" s="9" t="s">
        <v>61</v>
      </c>
      <c r="C232" s="10" t="s">
        <v>93</v>
      </c>
      <c r="D232" s="39"/>
      <c r="E232" s="39"/>
      <c r="F232" s="16">
        <v>1</v>
      </c>
      <c r="G232" s="44"/>
      <c r="H232" s="16">
        <v>1</v>
      </c>
      <c r="I232" s="44"/>
      <c r="J232" s="16">
        <v>1</v>
      </c>
      <c r="K232" s="44"/>
      <c r="L232" s="16">
        <v>1</v>
      </c>
      <c r="M232" s="44"/>
      <c r="N232" s="16">
        <v>1</v>
      </c>
      <c r="O232" s="44"/>
      <c r="P232" s="16">
        <v>1</v>
      </c>
      <c r="Q232" s="46"/>
      <c r="R232" s="16">
        <v>1</v>
      </c>
      <c r="S232" s="46"/>
    </row>
    <row r="233" spans="1:19">
      <c r="A233" s="39"/>
      <c r="B233" s="9" t="s">
        <v>62</v>
      </c>
      <c r="C233" s="10" t="s">
        <v>65</v>
      </c>
      <c r="D233" s="39"/>
      <c r="E233" s="39"/>
      <c r="F233" s="16">
        <v>9</v>
      </c>
      <c r="G233" s="44"/>
      <c r="H233" s="16">
        <v>9</v>
      </c>
      <c r="I233" s="44"/>
      <c r="J233" s="16">
        <v>9</v>
      </c>
      <c r="K233" s="44"/>
      <c r="L233" s="16">
        <v>9</v>
      </c>
      <c r="M233" s="44"/>
      <c r="N233" s="16">
        <v>9</v>
      </c>
      <c r="O233" s="44"/>
      <c r="P233" s="16">
        <v>9</v>
      </c>
      <c r="Q233" s="46"/>
      <c r="R233" s="16">
        <v>9</v>
      </c>
      <c r="S233" s="46"/>
    </row>
    <row r="234" spans="1:19">
      <c r="A234" s="39"/>
      <c r="B234" s="9" t="s">
        <v>63</v>
      </c>
      <c r="C234" s="10" t="s">
        <v>66</v>
      </c>
      <c r="D234" s="39"/>
      <c r="E234" s="39"/>
      <c r="F234" s="16">
        <v>1</v>
      </c>
      <c r="G234" s="44"/>
      <c r="H234" s="16">
        <v>1</v>
      </c>
      <c r="I234" s="44"/>
      <c r="J234" s="16">
        <v>1</v>
      </c>
      <c r="K234" s="44"/>
      <c r="L234" s="16">
        <v>1</v>
      </c>
      <c r="M234" s="44"/>
      <c r="N234" s="16">
        <v>1</v>
      </c>
      <c r="O234" s="44"/>
      <c r="P234" s="16">
        <v>1</v>
      </c>
      <c r="Q234" s="46"/>
      <c r="R234" s="16">
        <v>1</v>
      </c>
      <c r="S234" s="46"/>
    </row>
    <row r="235" spans="1:19">
      <c r="A235" s="39"/>
      <c r="B235" s="9" t="s">
        <v>64</v>
      </c>
      <c r="C235" s="12" t="s">
        <v>67</v>
      </c>
      <c r="D235" s="39"/>
      <c r="E235" s="39"/>
      <c r="F235" s="16">
        <v>1</v>
      </c>
      <c r="G235" s="48"/>
      <c r="H235" s="16">
        <v>1</v>
      </c>
      <c r="I235" s="44"/>
      <c r="J235" s="16">
        <v>2</v>
      </c>
      <c r="K235" s="44"/>
      <c r="L235" s="16">
        <v>1</v>
      </c>
      <c r="M235" s="44"/>
      <c r="N235" s="16">
        <v>1</v>
      </c>
      <c r="O235" s="44"/>
      <c r="P235" s="16">
        <v>2</v>
      </c>
      <c r="Q235" s="46"/>
      <c r="R235" s="16">
        <v>2</v>
      </c>
      <c r="S235" s="46"/>
    </row>
    <row r="236" spans="1:19">
      <c r="A236" s="35" t="s">
        <v>51</v>
      </c>
      <c r="B236" s="2" t="s">
        <v>52</v>
      </c>
      <c r="C236" s="3" t="s">
        <v>53</v>
      </c>
      <c r="D236" s="35" t="s">
        <v>34</v>
      </c>
      <c r="E236" s="35" t="s">
        <v>37</v>
      </c>
      <c r="F236" s="15">
        <v>7</v>
      </c>
      <c r="G236" s="45">
        <v>5</v>
      </c>
      <c r="H236" s="15">
        <v>7</v>
      </c>
      <c r="I236" s="45">
        <v>4.8888888888888893</v>
      </c>
      <c r="J236" s="15">
        <v>6</v>
      </c>
      <c r="K236" s="45">
        <v>4.7777777777777777</v>
      </c>
      <c r="L236" s="15">
        <v>6</v>
      </c>
      <c r="M236" s="45">
        <v>4.8888888888888893</v>
      </c>
      <c r="N236" s="15">
        <v>7</v>
      </c>
      <c r="O236" s="45">
        <v>5</v>
      </c>
      <c r="P236" s="15">
        <v>7</v>
      </c>
      <c r="Q236" s="45">
        <f t="shared" ref="Q236" si="50">SUM(P236:P244)/9</f>
        <v>5.1111111111111107</v>
      </c>
      <c r="R236" s="15">
        <v>6</v>
      </c>
      <c r="S236" s="45">
        <f t="shared" ref="S236" si="51" xml:space="preserve"> SUM(R236:R244)/9</f>
        <v>5</v>
      </c>
    </row>
    <row r="237" spans="1:19">
      <c r="A237" s="36"/>
      <c r="B237" s="2" t="s">
        <v>54</v>
      </c>
      <c r="C237" s="3" t="s">
        <v>55</v>
      </c>
      <c r="D237" s="36"/>
      <c r="E237" s="36"/>
      <c r="F237" s="15">
        <v>10</v>
      </c>
      <c r="G237" s="46"/>
      <c r="H237" s="15">
        <v>10</v>
      </c>
      <c r="I237" s="46"/>
      <c r="J237" s="15">
        <v>9</v>
      </c>
      <c r="K237" s="46"/>
      <c r="L237" s="15">
        <v>10</v>
      </c>
      <c r="M237" s="46"/>
      <c r="N237" s="15">
        <v>10</v>
      </c>
      <c r="O237" s="46"/>
      <c r="P237" s="15">
        <v>10</v>
      </c>
      <c r="Q237" s="46"/>
      <c r="R237" s="15">
        <v>10</v>
      </c>
      <c r="S237" s="46"/>
    </row>
    <row r="238" spans="1:19">
      <c r="A238" s="36"/>
      <c r="B238" s="2" t="s">
        <v>56</v>
      </c>
      <c r="C238" s="3" t="s">
        <v>57</v>
      </c>
      <c r="D238" s="36"/>
      <c r="E238" s="36"/>
      <c r="F238" s="15">
        <v>2</v>
      </c>
      <c r="G238" s="46"/>
      <c r="H238" s="15">
        <v>1</v>
      </c>
      <c r="I238" s="46"/>
      <c r="J238" s="15">
        <v>2</v>
      </c>
      <c r="K238" s="46"/>
      <c r="L238" s="15">
        <v>2</v>
      </c>
      <c r="M238" s="46"/>
      <c r="N238" s="15">
        <v>2</v>
      </c>
      <c r="O238" s="46"/>
      <c r="P238" s="15">
        <v>2</v>
      </c>
      <c r="Q238" s="46"/>
      <c r="R238" s="15">
        <v>2</v>
      </c>
      <c r="S238" s="46"/>
    </row>
    <row r="239" spans="1:19">
      <c r="A239" s="36"/>
      <c r="B239" s="2" t="s">
        <v>58</v>
      </c>
      <c r="C239" s="3" t="s">
        <v>59</v>
      </c>
      <c r="D239" s="36"/>
      <c r="E239" s="36"/>
      <c r="F239" s="15">
        <v>9</v>
      </c>
      <c r="G239" s="46"/>
      <c r="H239" s="15">
        <v>9</v>
      </c>
      <c r="I239" s="46"/>
      <c r="J239" s="15">
        <v>8</v>
      </c>
      <c r="K239" s="46"/>
      <c r="L239" s="15">
        <v>8</v>
      </c>
      <c r="M239" s="46"/>
      <c r="N239" s="15">
        <v>8</v>
      </c>
      <c r="O239" s="46"/>
      <c r="P239" s="15">
        <v>9</v>
      </c>
      <c r="Q239" s="46"/>
      <c r="R239" s="15">
        <v>9</v>
      </c>
      <c r="S239" s="46"/>
    </row>
    <row r="240" spans="1:19">
      <c r="A240" s="36"/>
      <c r="B240" s="2" t="s">
        <v>60</v>
      </c>
      <c r="C240" s="3" t="s">
        <v>94</v>
      </c>
      <c r="D240" s="36"/>
      <c r="E240" s="36"/>
      <c r="F240" s="15">
        <v>1</v>
      </c>
      <c r="G240" s="46"/>
      <c r="H240" s="15">
        <v>1</v>
      </c>
      <c r="I240" s="46"/>
      <c r="J240" s="15">
        <v>1</v>
      </c>
      <c r="K240" s="46"/>
      <c r="L240" s="15">
        <v>1</v>
      </c>
      <c r="M240" s="46"/>
      <c r="N240" s="15">
        <v>1</v>
      </c>
      <c r="O240" s="46"/>
      <c r="P240" s="15">
        <v>1</v>
      </c>
      <c r="Q240" s="46"/>
      <c r="R240" s="15">
        <v>1</v>
      </c>
      <c r="S240" s="46"/>
    </row>
    <row r="241" spans="1:19">
      <c r="A241" s="36"/>
      <c r="B241" s="2" t="s">
        <v>61</v>
      </c>
      <c r="C241" s="3" t="s">
        <v>93</v>
      </c>
      <c r="D241" s="36"/>
      <c r="E241" s="36"/>
      <c r="F241" s="15">
        <v>3</v>
      </c>
      <c r="G241" s="46"/>
      <c r="H241" s="15">
        <v>2</v>
      </c>
      <c r="I241" s="46"/>
      <c r="J241" s="15">
        <v>3</v>
      </c>
      <c r="K241" s="46"/>
      <c r="L241" s="15">
        <v>3</v>
      </c>
      <c r="M241" s="46"/>
      <c r="N241" s="15">
        <v>2</v>
      </c>
      <c r="O241" s="46"/>
      <c r="P241" s="15">
        <v>2</v>
      </c>
      <c r="Q241" s="46"/>
      <c r="R241" s="15">
        <v>2</v>
      </c>
      <c r="S241" s="46"/>
    </row>
    <row r="242" spans="1:19">
      <c r="A242" s="36"/>
      <c r="B242" s="2" t="s">
        <v>62</v>
      </c>
      <c r="C242" s="3" t="s">
        <v>65</v>
      </c>
      <c r="D242" s="36"/>
      <c r="E242" s="36"/>
      <c r="F242" s="15">
        <v>8</v>
      </c>
      <c r="G242" s="46"/>
      <c r="H242" s="15">
        <v>9</v>
      </c>
      <c r="I242" s="46"/>
      <c r="J242" s="15">
        <v>8</v>
      </c>
      <c r="K242" s="46"/>
      <c r="L242" s="15">
        <v>8</v>
      </c>
      <c r="M242" s="46"/>
      <c r="N242" s="15">
        <v>8</v>
      </c>
      <c r="O242" s="46"/>
      <c r="P242" s="15">
        <v>8</v>
      </c>
      <c r="Q242" s="46"/>
      <c r="R242" s="15">
        <v>8</v>
      </c>
      <c r="S242" s="46"/>
    </row>
    <row r="243" spans="1:19">
      <c r="A243" s="36"/>
      <c r="B243" s="2" t="s">
        <v>63</v>
      </c>
      <c r="C243" s="3" t="s">
        <v>66</v>
      </c>
      <c r="D243" s="36"/>
      <c r="E243" s="36"/>
      <c r="F243" s="15">
        <v>4</v>
      </c>
      <c r="G243" s="46"/>
      <c r="H243" s="15">
        <v>4</v>
      </c>
      <c r="I243" s="46"/>
      <c r="J243" s="15">
        <v>5</v>
      </c>
      <c r="K243" s="46"/>
      <c r="L243" s="15">
        <v>5</v>
      </c>
      <c r="M243" s="46"/>
      <c r="N243" s="15">
        <v>5</v>
      </c>
      <c r="O243" s="46"/>
      <c r="P243" s="15">
        <v>5</v>
      </c>
      <c r="Q243" s="46"/>
      <c r="R243" s="15">
        <v>5</v>
      </c>
      <c r="S243" s="46"/>
    </row>
    <row r="244" spans="1:19">
      <c r="A244" s="37"/>
      <c r="B244" s="2" t="s">
        <v>64</v>
      </c>
      <c r="C244" s="7" t="s">
        <v>67</v>
      </c>
      <c r="D244" s="37"/>
      <c r="E244" s="37"/>
      <c r="F244" s="15">
        <v>1</v>
      </c>
      <c r="G244" s="47"/>
      <c r="H244" s="15">
        <v>1</v>
      </c>
      <c r="I244" s="47"/>
      <c r="J244" s="15">
        <v>1</v>
      </c>
      <c r="K244" s="47"/>
      <c r="L244" s="15">
        <v>1</v>
      </c>
      <c r="M244" s="47"/>
      <c r="N244" s="15">
        <v>2</v>
      </c>
      <c r="O244" s="47"/>
      <c r="P244" s="15">
        <v>2</v>
      </c>
      <c r="Q244" s="47"/>
      <c r="R244" s="15">
        <v>2</v>
      </c>
      <c r="S244" s="47"/>
    </row>
  </sheetData>
  <autoFilter ref="A1:O244" xr:uid="{89EE6B7E-3567-4FA6-9AD4-1EA4D419A294}"/>
  <mergeCells count="270">
    <mergeCell ref="S164:S172"/>
    <mergeCell ref="S173:S181"/>
    <mergeCell ref="S182:S190"/>
    <mergeCell ref="S191:S199"/>
    <mergeCell ref="S200:S208"/>
    <mergeCell ref="S209:S217"/>
    <mergeCell ref="S218:S226"/>
    <mergeCell ref="S227:S235"/>
    <mergeCell ref="S236:S244"/>
    <mergeCell ref="S83:S91"/>
    <mergeCell ref="S92:S100"/>
    <mergeCell ref="S101:S109"/>
    <mergeCell ref="S110:S118"/>
    <mergeCell ref="S119:S127"/>
    <mergeCell ref="S128:S136"/>
    <mergeCell ref="S137:S145"/>
    <mergeCell ref="S146:S154"/>
    <mergeCell ref="S155:S163"/>
    <mergeCell ref="S2:S10"/>
    <mergeCell ref="S11:S19"/>
    <mergeCell ref="S20:S28"/>
    <mergeCell ref="S29:S37"/>
    <mergeCell ref="S38:S46"/>
    <mergeCell ref="S47:S55"/>
    <mergeCell ref="S56:S64"/>
    <mergeCell ref="S65:S73"/>
    <mergeCell ref="S74:S82"/>
    <mergeCell ref="Q164:Q172"/>
    <mergeCell ref="Q173:Q181"/>
    <mergeCell ref="Q182:Q190"/>
    <mergeCell ref="Q191:Q199"/>
    <mergeCell ref="Q200:Q208"/>
    <mergeCell ref="Q209:Q217"/>
    <mergeCell ref="Q218:Q226"/>
    <mergeCell ref="Q227:Q235"/>
    <mergeCell ref="Q236:Q244"/>
    <mergeCell ref="Q83:Q91"/>
    <mergeCell ref="Q92:Q100"/>
    <mergeCell ref="Q101:Q109"/>
    <mergeCell ref="Q110:Q118"/>
    <mergeCell ref="Q119:Q127"/>
    <mergeCell ref="Q128:Q136"/>
    <mergeCell ref="Q137:Q145"/>
    <mergeCell ref="Q146:Q154"/>
    <mergeCell ref="Q155:Q163"/>
    <mergeCell ref="Q2:Q10"/>
    <mergeCell ref="Q11:Q19"/>
    <mergeCell ref="Q20:Q28"/>
    <mergeCell ref="Q29:Q37"/>
    <mergeCell ref="Q38:Q46"/>
    <mergeCell ref="Q47:Q55"/>
    <mergeCell ref="Q56:Q64"/>
    <mergeCell ref="Q65:Q73"/>
    <mergeCell ref="Q74:Q82"/>
    <mergeCell ref="A2:A10"/>
    <mergeCell ref="G2:G10"/>
    <mergeCell ref="I2:I10"/>
    <mergeCell ref="K2:K10"/>
    <mergeCell ref="M2:M10"/>
    <mergeCell ref="O2:O10"/>
    <mergeCell ref="D2:D10"/>
    <mergeCell ref="E2:E10"/>
    <mergeCell ref="M11:M19"/>
    <mergeCell ref="O11:O19"/>
    <mergeCell ref="A20:A28"/>
    <mergeCell ref="D20:D28"/>
    <mergeCell ref="E20:E28"/>
    <mergeCell ref="G20:G28"/>
    <mergeCell ref="I20:I28"/>
    <mergeCell ref="K20:K28"/>
    <mergeCell ref="M20:M28"/>
    <mergeCell ref="O20:O28"/>
    <mergeCell ref="A11:A19"/>
    <mergeCell ref="D11:D19"/>
    <mergeCell ref="E11:E19"/>
    <mergeCell ref="G11:G19"/>
    <mergeCell ref="I11:I19"/>
    <mergeCell ref="K11:K19"/>
    <mergeCell ref="M29:M37"/>
    <mergeCell ref="O29:O37"/>
    <mergeCell ref="A38:A46"/>
    <mergeCell ref="D38:D46"/>
    <mergeCell ref="E38:E46"/>
    <mergeCell ref="G38:G46"/>
    <mergeCell ref="I38:I46"/>
    <mergeCell ref="K38:K46"/>
    <mergeCell ref="M38:M46"/>
    <mergeCell ref="O38:O46"/>
    <mergeCell ref="A29:A37"/>
    <mergeCell ref="D29:D37"/>
    <mergeCell ref="E29:E37"/>
    <mergeCell ref="G29:G37"/>
    <mergeCell ref="I29:I37"/>
    <mergeCell ref="K29:K37"/>
    <mergeCell ref="M47:M55"/>
    <mergeCell ref="O47:O55"/>
    <mergeCell ref="A56:A64"/>
    <mergeCell ref="D56:D64"/>
    <mergeCell ref="E56:E64"/>
    <mergeCell ref="G56:G64"/>
    <mergeCell ref="I56:I64"/>
    <mergeCell ref="K56:K64"/>
    <mergeCell ref="M56:M64"/>
    <mergeCell ref="O56:O64"/>
    <mergeCell ref="A47:A55"/>
    <mergeCell ref="D47:D55"/>
    <mergeCell ref="E47:E55"/>
    <mergeCell ref="G47:G55"/>
    <mergeCell ref="I47:I55"/>
    <mergeCell ref="K47:K55"/>
    <mergeCell ref="M65:M73"/>
    <mergeCell ref="O65:O73"/>
    <mergeCell ref="A74:A82"/>
    <mergeCell ref="D74:D82"/>
    <mergeCell ref="E74:E82"/>
    <mergeCell ref="G74:G82"/>
    <mergeCell ref="I74:I82"/>
    <mergeCell ref="K74:K82"/>
    <mergeCell ref="M74:M82"/>
    <mergeCell ref="O74:O82"/>
    <mergeCell ref="A65:A73"/>
    <mergeCell ref="D65:D73"/>
    <mergeCell ref="E65:E73"/>
    <mergeCell ref="G65:G73"/>
    <mergeCell ref="I65:I73"/>
    <mergeCell ref="K65:K73"/>
    <mergeCell ref="M83:M91"/>
    <mergeCell ref="O83:O91"/>
    <mergeCell ref="A92:A100"/>
    <mergeCell ref="D92:D100"/>
    <mergeCell ref="E92:E100"/>
    <mergeCell ref="G92:G100"/>
    <mergeCell ref="I92:I100"/>
    <mergeCell ref="K92:K100"/>
    <mergeCell ref="M92:M100"/>
    <mergeCell ref="O92:O100"/>
    <mergeCell ref="A83:A91"/>
    <mergeCell ref="D83:D91"/>
    <mergeCell ref="E83:E91"/>
    <mergeCell ref="G83:G91"/>
    <mergeCell ref="I83:I91"/>
    <mergeCell ref="K83:K91"/>
    <mergeCell ref="M101:M109"/>
    <mergeCell ref="O101:O109"/>
    <mergeCell ref="A110:A118"/>
    <mergeCell ref="D110:D118"/>
    <mergeCell ref="E110:E118"/>
    <mergeCell ref="G110:G118"/>
    <mergeCell ref="I110:I118"/>
    <mergeCell ref="K110:K118"/>
    <mergeCell ref="M110:M118"/>
    <mergeCell ref="O110:O118"/>
    <mergeCell ref="A101:A109"/>
    <mergeCell ref="D101:D109"/>
    <mergeCell ref="E101:E109"/>
    <mergeCell ref="G101:G109"/>
    <mergeCell ref="I101:I109"/>
    <mergeCell ref="K101:K109"/>
    <mergeCell ref="M119:M127"/>
    <mergeCell ref="O119:O127"/>
    <mergeCell ref="A128:A136"/>
    <mergeCell ref="D128:D136"/>
    <mergeCell ref="E128:E136"/>
    <mergeCell ref="G128:G136"/>
    <mergeCell ref="I128:I136"/>
    <mergeCell ref="K128:K136"/>
    <mergeCell ref="M128:M136"/>
    <mergeCell ref="O128:O136"/>
    <mergeCell ref="A119:A127"/>
    <mergeCell ref="D119:D127"/>
    <mergeCell ref="E119:E127"/>
    <mergeCell ref="G119:G127"/>
    <mergeCell ref="I119:I127"/>
    <mergeCell ref="K119:K127"/>
    <mergeCell ref="M137:M145"/>
    <mergeCell ref="O137:O145"/>
    <mergeCell ref="A146:A154"/>
    <mergeCell ref="D146:D154"/>
    <mergeCell ref="E146:E154"/>
    <mergeCell ref="G146:G154"/>
    <mergeCell ref="I146:I154"/>
    <mergeCell ref="K146:K154"/>
    <mergeCell ref="M146:M154"/>
    <mergeCell ref="O146:O154"/>
    <mergeCell ref="A137:A145"/>
    <mergeCell ref="D137:D145"/>
    <mergeCell ref="E137:E145"/>
    <mergeCell ref="G137:G145"/>
    <mergeCell ref="I137:I145"/>
    <mergeCell ref="K137:K145"/>
    <mergeCell ref="M155:M163"/>
    <mergeCell ref="O155:O163"/>
    <mergeCell ref="A164:A172"/>
    <mergeCell ref="D164:D172"/>
    <mergeCell ref="E164:E172"/>
    <mergeCell ref="G164:G172"/>
    <mergeCell ref="I164:I172"/>
    <mergeCell ref="K164:K172"/>
    <mergeCell ref="M164:M172"/>
    <mergeCell ref="O164:O172"/>
    <mergeCell ref="A155:A163"/>
    <mergeCell ref="D155:D163"/>
    <mergeCell ref="E155:E163"/>
    <mergeCell ref="G155:G163"/>
    <mergeCell ref="I155:I163"/>
    <mergeCell ref="K155:K163"/>
    <mergeCell ref="M173:M181"/>
    <mergeCell ref="O173:O181"/>
    <mergeCell ref="A182:A190"/>
    <mergeCell ref="D182:D190"/>
    <mergeCell ref="E182:E190"/>
    <mergeCell ref="G182:G190"/>
    <mergeCell ref="I182:I190"/>
    <mergeCell ref="K182:K190"/>
    <mergeCell ref="M182:M190"/>
    <mergeCell ref="O182:O190"/>
    <mergeCell ref="A173:A181"/>
    <mergeCell ref="D173:D181"/>
    <mergeCell ref="E173:E181"/>
    <mergeCell ref="G173:G181"/>
    <mergeCell ref="I173:I181"/>
    <mergeCell ref="K173:K181"/>
    <mergeCell ref="M191:M199"/>
    <mergeCell ref="O191:O199"/>
    <mergeCell ref="A200:A208"/>
    <mergeCell ref="D200:D208"/>
    <mergeCell ref="E200:E208"/>
    <mergeCell ref="G200:G208"/>
    <mergeCell ref="I200:I208"/>
    <mergeCell ref="K200:K208"/>
    <mergeCell ref="M200:M208"/>
    <mergeCell ref="O200:O208"/>
    <mergeCell ref="A191:A199"/>
    <mergeCell ref="D191:D199"/>
    <mergeCell ref="E191:E199"/>
    <mergeCell ref="G191:G199"/>
    <mergeCell ref="I191:I199"/>
    <mergeCell ref="K191:K199"/>
    <mergeCell ref="M209:M217"/>
    <mergeCell ref="O209:O217"/>
    <mergeCell ref="A218:A226"/>
    <mergeCell ref="D218:D226"/>
    <mergeCell ref="E218:E226"/>
    <mergeCell ref="G218:G226"/>
    <mergeCell ref="I218:I226"/>
    <mergeCell ref="K218:K226"/>
    <mergeCell ref="M218:M226"/>
    <mergeCell ref="O218:O226"/>
    <mergeCell ref="A209:A217"/>
    <mergeCell ref="D209:D217"/>
    <mergeCell ref="E209:E217"/>
    <mergeCell ref="G209:G217"/>
    <mergeCell ref="I209:I217"/>
    <mergeCell ref="K209:K217"/>
    <mergeCell ref="M227:M235"/>
    <mergeCell ref="O227:O235"/>
    <mergeCell ref="A236:A244"/>
    <mergeCell ref="D236:D244"/>
    <mergeCell ref="E236:E244"/>
    <mergeCell ref="G236:G244"/>
    <mergeCell ref="I236:I244"/>
    <mergeCell ref="K236:K244"/>
    <mergeCell ref="M236:M244"/>
    <mergeCell ref="O236:O244"/>
    <mergeCell ref="A227:A235"/>
    <mergeCell ref="D227:D235"/>
    <mergeCell ref="E227:E235"/>
    <mergeCell ref="G227:G235"/>
    <mergeCell ref="I227:I235"/>
    <mergeCell ref="K227:K23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C291-3894-457F-8B21-BD7253D933A7}">
  <dimension ref="A1:S271"/>
  <sheetViews>
    <sheetView zoomScale="90" zoomScaleNormal="90" workbookViewId="0">
      <selection activeCell="T8" sqref="T8"/>
    </sheetView>
  </sheetViews>
  <sheetFormatPr defaultColWidth="8.85546875" defaultRowHeight="12.75"/>
  <cols>
    <col min="1" max="1" width="16.7109375" style="1" bestFit="1" customWidth="1"/>
    <col min="2" max="2" width="7.28515625" style="1" bestFit="1" customWidth="1"/>
    <col min="3" max="3" width="59.7109375" style="1" customWidth="1"/>
    <col min="4" max="4" width="11.140625" style="1" bestFit="1" customWidth="1"/>
    <col min="5" max="5" width="10.28515625" style="1" bestFit="1" customWidth="1"/>
    <col min="6" max="14" width="13" style="1" customWidth="1"/>
    <col min="15" max="15" width="15" style="1" customWidth="1"/>
    <col min="16" max="16" width="13" style="50" customWidth="1"/>
    <col min="17" max="17" width="15" style="54" customWidth="1"/>
    <col min="18" max="18" width="13" style="54" customWidth="1"/>
    <col min="19" max="19" width="15" style="54" customWidth="1"/>
    <col min="20" max="16384" width="8.85546875" style="1"/>
  </cols>
  <sheetData>
    <row r="1" spans="1:19">
      <c r="A1" s="5" t="s">
        <v>0</v>
      </c>
      <c r="B1" s="5" t="s">
        <v>1</v>
      </c>
      <c r="C1" s="5" t="s">
        <v>2</v>
      </c>
      <c r="D1" s="5" t="s">
        <v>6</v>
      </c>
      <c r="E1" s="5" t="s">
        <v>3</v>
      </c>
      <c r="F1" s="5" t="s">
        <v>46</v>
      </c>
      <c r="G1" s="5" t="s">
        <v>68</v>
      </c>
      <c r="H1" s="5" t="s">
        <v>47</v>
      </c>
      <c r="I1" s="5" t="s">
        <v>69</v>
      </c>
      <c r="J1" s="5" t="s">
        <v>48</v>
      </c>
      <c r="K1" s="5" t="s">
        <v>70</v>
      </c>
      <c r="L1" s="5" t="s">
        <v>49</v>
      </c>
      <c r="M1" s="5" t="s">
        <v>71</v>
      </c>
      <c r="N1" s="5" t="s">
        <v>50</v>
      </c>
      <c r="O1" s="5" t="s">
        <v>72</v>
      </c>
      <c r="P1" s="52" t="s">
        <v>126</v>
      </c>
      <c r="Q1" s="56" t="s">
        <v>125</v>
      </c>
      <c r="R1" s="56" t="s">
        <v>127</v>
      </c>
      <c r="S1" s="56" t="s">
        <v>128</v>
      </c>
    </row>
    <row r="2" spans="1:19">
      <c r="A2" s="35" t="s">
        <v>74</v>
      </c>
      <c r="B2" s="2" t="s">
        <v>75</v>
      </c>
      <c r="C2" s="23" t="s">
        <v>76</v>
      </c>
      <c r="D2" s="35" t="s">
        <v>7</v>
      </c>
      <c r="E2" s="35" t="s">
        <v>8</v>
      </c>
      <c r="F2" s="4">
        <v>10</v>
      </c>
      <c r="G2" s="32">
        <v>7.9</v>
      </c>
      <c r="H2" s="4">
        <v>10</v>
      </c>
      <c r="I2" s="32">
        <v>6.5</v>
      </c>
      <c r="J2" s="4">
        <v>8</v>
      </c>
      <c r="K2" s="32">
        <v>7.6</v>
      </c>
      <c r="L2" s="4">
        <v>7</v>
      </c>
      <c r="M2" s="32">
        <v>6</v>
      </c>
      <c r="N2" s="4">
        <v>7</v>
      </c>
      <c r="O2" s="32">
        <v>7</v>
      </c>
      <c r="P2" s="51">
        <v>7</v>
      </c>
      <c r="Q2" s="32">
        <f t="shared" ref="Q2" si="0">SUM(P2:P11)/10</f>
        <v>8.5</v>
      </c>
      <c r="R2" s="55">
        <v>7</v>
      </c>
      <c r="S2" s="32">
        <f t="shared" ref="S2" si="1">SUM(R2:R11)/10</f>
        <v>8.5</v>
      </c>
    </row>
    <row r="3" spans="1:19">
      <c r="A3" s="36"/>
      <c r="B3" s="2" t="s">
        <v>77</v>
      </c>
      <c r="C3" s="24" t="s">
        <v>78</v>
      </c>
      <c r="D3" s="36"/>
      <c r="E3" s="36"/>
      <c r="F3" s="4">
        <v>9</v>
      </c>
      <c r="G3" s="33"/>
      <c r="H3" s="4">
        <v>9</v>
      </c>
      <c r="I3" s="33"/>
      <c r="J3" s="4">
        <v>8</v>
      </c>
      <c r="K3" s="33"/>
      <c r="L3" s="4">
        <v>8</v>
      </c>
      <c r="M3" s="33"/>
      <c r="N3" s="4">
        <v>9</v>
      </c>
      <c r="O3" s="33"/>
      <c r="P3" s="51">
        <v>10</v>
      </c>
      <c r="Q3" s="33"/>
      <c r="R3" s="55">
        <v>10</v>
      </c>
      <c r="S3" s="33"/>
    </row>
    <row r="4" spans="1:19">
      <c r="A4" s="36"/>
      <c r="B4" s="2" t="s">
        <v>79</v>
      </c>
      <c r="C4" s="24" t="s">
        <v>80</v>
      </c>
      <c r="D4" s="36"/>
      <c r="E4" s="36"/>
      <c r="F4" s="4">
        <v>4</v>
      </c>
      <c r="G4" s="33"/>
      <c r="H4" s="4">
        <v>4</v>
      </c>
      <c r="I4" s="33"/>
      <c r="J4" s="4">
        <v>2</v>
      </c>
      <c r="K4" s="33"/>
      <c r="L4" s="4">
        <v>2</v>
      </c>
      <c r="M4" s="33"/>
      <c r="N4" s="4">
        <v>2</v>
      </c>
      <c r="O4" s="33"/>
      <c r="P4" s="51">
        <v>10</v>
      </c>
      <c r="Q4" s="33"/>
      <c r="R4" s="55">
        <v>10</v>
      </c>
      <c r="S4" s="33"/>
    </row>
    <row r="5" spans="1:19">
      <c r="A5" s="36"/>
      <c r="B5" s="2" t="s">
        <v>81</v>
      </c>
      <c r="C5" s="23" t="s">
        <v>104</v>
      </c>
      <c r="D5" s="36"/>
      <c r="E5" s="36"/>
      <c r="F5" s="4">
        <v>3</v>
      </c>
      <c r="G5" s="33"/>
      <c r="H5" s="4">
        <v>3</v>
      </c>
      <c r="I5" s="33"/>
      <c r="J5" s="4">
        <v>2</v>
      </c>
      <c r="K5" s="33"/>
      <c r="L5" s="4">
        <v>1</v>
      </c>
      <c r="M5" s="33"/>
      <c r="N5" s="4">
        <v>1</v>
      </c>
      <c r="O5" s="33"/>
      <c r="P5" s="51">
        <v>6</v>
      </c>
      <c r="Q5" s="33"/>
      <c r="R5" s="55">
        <v>6</v>
      </c>
      <c r="S5" s="33"/>
    </row>
    <row r="6" spans="1:19">
      <c r="A6" s="36"/>
      <c r="B6" s="2" t="s">
        <v>83</v>
      </c>
      <c r="C6" s="23" t="s">
        <v>84</v>
      </c>
      <c r="D6" s="36"/>
      <c r="E6" s="36"/>
      <c r="F6" s="4">
        <v>8</v>
      </c>
      <c r="G6" s="33"/>
      <c r="H6" s="4">
        <v>8</v>
      </c>
      <c r="I6" s="33"/>
      <c r="J6" s="4">
        <v>8</v>
      </c>
      <c r="K6" s="33"/>
      <c r="L6" s="4">
        <v>7</v>
      </c>
      <c r="M6" s="33"/>
      <c r="N6" s="4">
        <v>9</v>
      </c>
      <c r="O6" s="33"/>
      <c r="P6" s="51">
        <v>7</v>
      </c>
      <c r="Q6" s="33"/>
      <c r="R6" s="55">
        <v>7</v>
      </c>
      <c r="S6" s="33"/>
    </row>
    <row r="7" spans="1:19">
      <c r="A7" s="36"/>
      <c r="B7" s="2" t="s">
        <v>91</v>
      </c>
      <c r="C7" s="24" t="s">
        <v>86</v>
      </c>
      <c r="D7" s="36"/>
      <c r="E7" s="36"/>
      <c r="F7" s="4">
        <v>10</v>
      </c>
      <c r="G7" s="33"/>
      <c r="H7" s="4">
        <v>10</v>
      </c>
      <c r="I7" s="33"/>
      <c r="J7" s="4">
        <v>10</v>
      </c>
      <c r="K7" s="33"/>
      <c r="L7" s="4">
        <v>10</v>
      </c>
      <c r="M7" s="33"/>
      <c r="N7" s="4">
        <v>10</v>
      </c>
      <c r="O7" s="33"/>
      <c r="P7" s="51">
        <v>9</v>
      </c>
      <c r="Q7" s="33"/>
      <c r="R7" s="55">
        <v>9</v>
      </c>
      <c r="S7" s="33"/>
    </row>
    <row r="8" spans="1:19">
      <c r="A8" s="36"/>
      <c r="B8" s="2" t="s">
        <v>85</v>
      </c>
      <c r="C8" s="23" t="s">
        <v>88</v>
      </c>
      <c r="D8" s="36"/>
      <c r="E8" s="36"/>
      <c r="F8" s="4">
        <v>8</v>
      </c>
      <c r="G8" s="33"/>
      <c r="H8" s="4">
        <v>7</v>
      </c>
      <c r="I8" s="33"/>
      <c r="J8" s="4">
        <v>8</v>
      </c>
      <c r="K8" s="33"/>
      <c r="L8" s="4">
        <v>7</v>
      </c>
      <c r="M8" s="33"/>
      <c r="N8" s="4">
        <v>7</v>
      </c>
      <c r="O8" s="33"/>
      <c r="P8" s="51">
        <v>10</v>
      </c>
      <c r="Q8" s="33"/>
      <c r="R8" s="55">
        <v>10</v>
      </c>
      <c r="S8" s="33"/>
    </row>
    <row r="9" spans="1:19">
      <c r="A9" s="36"/>
      <c r="B9" s="2" t="s">
        <v>87</v>
      </c>
      <c r="C9" s="25" t="s">
        <v>121</v>
      </c>
      <c r="D9" s="36"/>
      <c r="E9" s="36"/>
      <c r="F9" s="4">
        <v>10</v>
      </c>
      <c r="G9" s="33"/>
      <c r="H9" s="4">
        <v>3</v>
      </c>
      <c r="I9" s="33"/>
      <c r="J9" s="4">
        <v>10</v>
      </c>
      <c r="K9" s="33"/>
      <c r="L9" s="4">
        <v>4</v>
      </c>
      <c r="M9" s="33"/>
      <c r="N9" s="4">
        <v>9</v>
      </c>
      <c r="O9" s="33"/>
      <c r="P9" s="51">
        <v>9</v>
      </c>
      <c r="Q9" s="33"/>
      <c r="R9" s="55">
        <v>9</v>
      </c>
      <c r="S9" s="33"/>
    </row>
    <row r="10" spans="1:19">
      <c r="A10" s="36"/>
      <c r="B10" s="2" t="s">
        <v>89</v>
      </c>
      <c r="C10" s="26" t="s">
        <v>123</v>
      </c>
      <c r="D10" s="36"/>
      <c r="E10" s="36"/>
      <c r="F10" s="4">
        <v>8</v>
      </c>
      <c r="G10" s="33"/>
      <c r="H10" s="4">
        <v>1</v>
      </c>
      <c r="I10" s="33"/>
      <c r="J10" s="4">
        <v>10</v>
      </c>
      <c r="K10" s="33"/>
      <c r="L10" s="4">
        <v>4</v>
      </c>
      <c r="M10" s="33"/>
      <c r="N10" s="4">
        <v>6</v>
      </c>
      <c r="O10" s="33"/>
      <c r="P10" s="51">
        <v>8</v>
      </c>
      <c r="Q10" s="33"/>
      <c r="R10" s="55">
        <v>8</v>
      </c>
      <c r="S10" s="33"/>
    </row>
    <row r="11" spans="1:19">
      <c r="A11" s="36"/>
      <c r="B11" s="2" t="s">
        <v>92</v>
      </c>
      <c r="C11" s="26" t="s">
        <v>124</v>
      </c>
      <c r="D11" s="36"/>
      <c r="E11" s="36"/>
      <c r="F11" s="4">
        <v>9</v>
      </c>
      <c r="G11" s="33"/>
      <c r="H11" s="4">
        <v>10</v>
      </c>
      <c r="I11" s="33"/>
      <c r="J11" s="4">
        <v>10</v>
      </c>
      <c r="K11" s="33"/>
      <c r="L11" s="4">
        <v>10</v>
      </c>
      <c r="M11" s="33"/>
      <c r="N11" s="4">
        <v>10</v>
      </c>
      <c r="O11" s="33"/>
      <c r="P11" s="51">
        <v>9</v>
      </c>
      <c r="Q11" s="33"/>
      <c r="R11" s="55">
        <v>9</v>
      </c>
      <c r="S11" s="33"/>
    </row>
    <row r="12" spans="1:19">
      <c r="A12" s="38" t="s">
        <v>74</v>
      </c>
      <c r="B12" s="9" t="s">
        <v>75</v>
      </c>
      <c r="C12" s="10" t="s">
        <v>76</v>
      </c>
      <c r="D12" s="38" t="s">
        <v>7</v>
      </c>
      <c r="E12" s="38" t="s">
        <v>9</v>
      </c>
      <c r="F12" s="11">
        <v>10</v>
      </c>
      <c r="G12" s="40">
        <v>7.4</v>
      </c>
      <c r="H12" s="11">
        <v>10</v>
      </c>
      <c r="I12" s="40">
        <v>7.4</v>
      </c>
      <c r="J12" s="11">
        <v>10</v>
      </c>
      <c r="K12" s="40">
        <v>7.4</v>
      </c>
      <c r="L12" s="11">
        <v>10</v>
      </c>
      <c r="M12" s="40">
        <v>7.4</v>
      </c>
      <c r="N12" s="11">
        <v>10</v>
      </c>
      <c r="O12" s="40">
        <v>7.4</v>
      </c>
      <c r="P12" s="53">
        <v>8</v>
      </c>
      <c r="Q12" s="40">
        <f t="shared" ref="Q12" si="2">SUM(P12:P21)/10</f>
        <v>6.3</v>
      </c>
      <c r="R12" s="57">
        <v>8</v>
      </c>
      <c r="S12" s="40">
        <f t="shared" ref="S12" si="3">SUM(R12:R21)/10</f>
        <v>6.3</v>
      </c>
    </row>
    <row r="13" spans="1:19">
      <c r="A13" s="39"/>
      <c r="B13" s="9" t="s">
        <v>77</v>
      </c>
      <c r="C13" s="10" t="s">
        <v>78</v>
      </c>
      <c r="D13" s="39"/>
      <c r="E13" s="39"/>
      <c r="F13" s="11">
        <v>1</v>
      </c>
      <c r="G13" s="41"/>
      <c r="H13" s="11">
        <v>1</v>
      </c>
      <c r="I13" s="41"/>
      <c r="J13" s="11">
        <v>1</v>
      </c>
      <c r="K13" s="41"/>
      <c r="L13" s="11">
        <v>1</v>
      </c>
      <c r="M13" s="41"/>
      <c r="N13" s="11">
        <v>1</v>
      </c>
      <c r="O13" s="41"/>
      <c r="P13" s="53">
        <v>9</v>
      </c>
      <c r="Q13" s="41"/>
      <c r="R13" s="57">
        <v>9</v>
      </c>
      <c r="S13" s="41"/>
    </row>
    <row r="14" spans="1:19">
      <c r="A14" s="39"/>
      <c r="B14" s="9" t="s">
        <v>79</v>
      </c>
      <c r="C14" s="10" t="s">
        <v>80</v>
      </c>
      <c r="D14" s="39"/>
      <c r="E14" s="39"/>
      <c r="F14" s="11">
        <v>1</v>
      </c>
      <c r="G14" s="41"/>
      <c r="H14" s="11">
        <v>1</v>
      </c>
      <c r="I14" s="41"/>
      <c r="J14" s="11">
        <v>2</v>
      </c>
      <c r="K14" s="41"/>
      <c r="L14" s="11">
        <v>1</v>
      </c>
      <c r="M14" s="41"/>
      <c r="N14" s="11">
        <v>1</v>
      </c>
      <c r="O14" s="41"/>
      <c r="P14" s="53">
        <v>9</v>
      </c>
      <c r="Q14" s="41"/>
      <c r="R14" s="57">
        <v>9</v>
      </c>
      <c r="S14" s="41"/>
    </row>
    <row r="15" spans="1:19">
      <c r="A15" s="39"/>
      <c r="B15" s="9" t="s">
        <v>81</v>
      </c>
      <c r="C15" s="10" t="s">
        <v>82</v>
      </c>
      <c r="D15" s="39"/>
      <c r="E15" s="39"/>
      <c r="F15" s="11">
        <v>2</v>
      </c>
      <c r="G15" s="41"/>
      <c r="H15" s="11">
        <v>2</v>
      </c>
      <c r="I15" s="41"/>
      <c r="J15" s="11">
        <v>2</v>
      </c>
      <c r="K15" s="41"/>
      <c r="L15" s="11">
        <v>2</v>
      </c>
      <c r="M15" s="41"/>
      <c r="N15" s="11">
        <v>2</v>
      </c>
      <c r="O15" s="41"/>
      <c r="P15" s="53">
        <v>7</v>
      </c>
      <c r="Q15" s="41"/>
      <c r="R15" s="57">
        <v>7</v>
      </c>
      <c r="S15" s="41"/>
    </row>
    <row r="16" spans="1:19">
      <c r="A16" s="39"/>
      <c r="B16" s="9" t="s">
        <v>83</v>
      </c>
      <c r="C16" s="10" t="s">
        <v>84</v>
      </c>
      <c r="D16" s="39"/>
      <c r="E16" s="39"/>
      <c r="F16" s="11">
        <v>10</v>
      </c>
      <c r="G16" s="41"/>
      <c r="H16" s="11">
        <v>10</v>
      </c>
      <c r="I16" s="41"/>
      <c r="J16" s="11">
        <v>10</v>
      </c>
      <c r="K16" s="41"/>
      <c r="L16" s="11">
        <v>10</v>
      </c>
      <c r="M16" s="41"/>
      <c r="N16" s="11">
        <v>10</v>
      </c>
      <c r="O16" s="41"/>
      <c r="P16" s="53">
        <v>8</v>
      </c>
      <c r="Q16" s="41"/>
      <c r="R16" s="57">
        <v>8</v>
      </c>
      <c r="S16" s="41"/>
    </row>
    <row r="17" spans="1:19">
      <c r="A17" s="39"/>
      <c r="B17" s="9" t="s">
        <v>91</v>
      </c>
      <c r="C17" s="10" t="s">
        <v>86</v>
      </c>
      <c r="D17" s="39"/>
      <c r="E17" s="39"/>
      <c r="F17" s="11">
        <v>10</v>
      </c>
      <c r="G17" s="41"/>
      <c r="H17" s="11">
        <v>10</v>
      </c>
      <c r="I17" s="41"/>
      <c r="J17" s="11">
        <v>10</v>
      </c>
      <c r="K17" s="41"/>
      <c r="L17" s="11">
        <v>10</v>
      </c>
      <c r="M17" s="41"/>
      <c r="N17" s="11">
        <v>10</v>
      </c>
      <c r="O17" s="41"/>
      <c r="P17" s="53">
        <v>8</v>
      </c>
      <c r="Q17" s="41"/>
      <c r="R17" s="57">
        <v>8</v>
      </c>
      <c r="S17" s="41"/>
    </row>
    <row r="18" spans="1:19">
      <c r="A18" s="39"/>
      <c r="B18" s="9" t="s">
        <v>85</v>
      </c>
      <c r="C18" s="10" t="s">
        <v>88</v>
      </c>
      <c r="D18" s="39"/>
      <c r="E18" s="39"/>
      <c r="F18" s="11">
        <v>10</v>
      </c>
      <c r="G18" s="41"/>
      <c r="H18" s="11">
        <v>10</v>
      </c>
      <c r="I18" s="41"/>
      <c r="J18" s="11">
        <v>10</v>
      </c>
      <c r="K18" s="41"/>
      <c r="L18" s="11">
        <v>10</v>
      </c>
      <c r="M18" s="41"/>
      <c r="N18" s="11">
        <v>10</v>
      </c>
      <c r="O18" s="41"/>
      <c r="P18" s="53">
        <v>5</v>
      </c>
      <c r="Q18" s="41"/>
      <c r="R18" s="57">
        <v>5</v>
      </c>
      <c r="S18" s="41"/>
    </row>
    <row r="19" spans="1:19">
      <c r="A19" s="39"/>
      <c r="B19" s="9" t="s">
        <v>87</v>
      </c>
      <c r="C19" s="10" t="s">
        <v>121</v>
      </c>
      <c r="D19" s="39"/>
      <c r="E19" s="39"/>
      <c r="F19" s="11">
        <v>10</v>
      </c>
      <c r="G19" s="41"/>
      <c r="H19" s="11">
        <v>10</v>
      </c>
      <c r="I19" s="41"/>
      <c r="J19" s="11">
        <v>9</v>
      </c>
      <c r="K19" s="41"/>
      <c r="L19" s="11">
        <v>10</v>
      </c>
      <c r="M19" s="41"/>
      <c r="N19" s="11">
        <v>10</v>
      </c>
      <c r="O19" s="41"/>
      <c r="P19" s="53">
        <v>5</v>
      </c>
      <c r="Q19" s="41"/>
      <c r="R19" s="57">
        <v>5</v>
      </c>
      <c r="S19" s="41"/>
    </row>
    <row r="20" spans="1:19">
      <c r="A20" s="39"/>
      <c r="B20" s="9" t="s">
        <v>89</v>
      </c>
      <c r="C20" s="10" t="s">
        <v>123</v>
      </c>
      <c r="D20" s="39"/>
      <c r="E20" s="39"/>
      <c r="F20" s="11">
        <v>10</v>
      </c>
      <c r="G20" s="41"/>
      <c r="H20" s="11">
        <v>10</v>
      </c>
      <c r="I20" s="41"/>
      <c r="J20" s="11">
        <v>10</v>
      </c>
      <c r="K20" s="41"/>
      <c r="L20" s="11">
        <v>10</v>
      </c>
      <c r="M20" s="41"/>
      <c r="N20" s="11">
        <v>10</v>
      </c>
      <c r="O20" s="41"/>
      <c r="P20" s="53">
        <v>1</v>
      </c>
      <c r="Q20" s="41"/>
      <c r="R20" s="57">
        <v>1</v>
      </c>
      <c r="S20" s="41"/>
    </row>
    <row r="21" spans="1:19">
      <c r="A21" s="39"/>
      <c r="B21" s="9" t="s">
        <v>92</v>
      </c>
      <c r="C21" s="10" t="s">
        <v>124</v>
      </c>
      <c r="D21" s="39"/>
      <c r="E21" s="39"/>
      <c r="F21" s="11">
        <v>10</v>
      </c>
      <c r="G21" s="41"/>
      <c r="H21" s="11">
        <v>10</v>
      </c>
      <c r="I21" s="41"/>
      <c r="J21" s="11">
        <v>10</v>
      </c>
      <c r="K21" s="41"/>
      <c r="L21" s="11">
        <v>10</v>
      </c>
      <c r="M21" s="41"/>
      <c r="N21" s="11">
        <v>10</v>
      </c>
      <c r="O21" s="41"/>
      <c r="P21" s="53">
        <v>3</v>
      </c>
      <c r="Q21" s="41"/>
      <c r="R21" s="57">
        <v>3</v>
      </c>
      <c r="S21" s="41"/>
    </row>
    <row r="22" spans="1:19">
      <c r="A22" s="35" t="s">
        <v>74</v>
      </c>
      <c r="B22" s="2" t="s">
        <v>75</v>
      </c>
      <c r="C22" s="3" t="s">
        <v>76</v>
      </c>
      <c r="D22" s="35" t="s">
        <v>7</v>
      </c>
      <c r="E22" s="35" t="s">
        <v>10</v>
      </c>
      <c r="F22" s="4">
        <v>10</v>
      </c>
      <c r="G22" s="32">
        <v>3.9</v>
      </c>
      <c r="H22" s="4">
        <v>10</v>
      </c>
      <c r="I22" s="32">
        <v>4.4000000000000004</v>
      </c>
      <c r="J22" s="4">
        <v>10</v>
      </c>
      <c r="K22" s="32">
        <v>4.9000000000000004</v>
      </c>
      <c r="L22" s="4">
        <v>10</v>
      </c>
      <c r="M22" s="32">
        <v>5.5</v>
      </c>
      <c r="N22" s="4">
        <v>10</v>
      </c>
      <c r="O22" s="32">
        <v>5.0999999999999996</v>
      </c>
      <c r="P22" s="51">
        <v>7</v>
      </c>
      <c r="Q22" s="32">
        <f t="shared" ref="Q22" si="4">SUM(P22:P31)/10</f>
        <v>4.8</v>
      </c>
      <c r="R22" s="55">
        <v>7</v>
      </c>
      <c r="S22" s="32">
        <f t="shared" ref="S22" si="5">SUM(R22:R31)/10</f>
        <v>4.8</v>
      </c>
    </row>
    <row r="23" spans="1:19">
      <c r="A23" s="36"/>
      <c r="B23" s="2" t="s">
        <v>77</v>
      </c>
      <c r="C23" s="3" t="s">
        <v>78</v>
      </c>
      <c r="D23" s="36"/>
      <c r="E23" s="36"/>
      <c r="F23" s="4">
        <v>4</v>
      </c>
      <c r="G23" s="33"/>
      <c r="H23" s="4">
        <v>3</v>
      </c>
      <c r="I23" s="33"/>
      <c r="J23" s="4">
        <v>3</v>
      </c>
      <c r="K23" s="33"/>
      <c r="L23" s="4">
        <v>4</v>
      </c>
      <c r="M23" s="33"/>
      <c r="N23" s="4">
        <v>4</v>
      </c>
      <c r="O23" s="33"/>
      <c r="P23" s="51">
        <v>2</v>
      </c>
      <c r="Q23" s="33"/>
      <c r="R23" s="55">
        <v>2</v>
      </c>
      <c r="S23" s="33"/>
    </row>
    <row r="24" spans="1:19">
      <c r="A24" s="36"/>
      <c r="B24" s="2" t="s">
        <v>79</v>
      </c>
      <c r="C24" s="3" t="s">
        <v>80</v>
      </c>
      <c r="D24" s="36"/>
      <c r="E24" s="36"/>
      <c r="F24" s="4">
        <v>2</v>
      </c>
      <c r="G24" s="33"/>
      <c r="H24" s="4">
        <v>2</v>
      </c>
      <c r="I24" s="33"/>
      <c r="J24" s="4">
        <v>2</v>
      </c>
      <c r="K24" s="33"/>
      <c r="L24" s="4">
        <v>2</v>
      </c>
      <c r="M24" s="33"/>
      <c r="N24" s="4">
        <v>2</v>
      </c>
      <c r="O24" s="33"/>
      <c r="P24" s="51">
        <v>6</v>
      </c>
      <c r="Q24" s="33"/>
      <c r="R24" s="55">
        <v>6</v>
      </c>
      <c r="S24" s="33"/>
    </row>
    <row r="25" spans="1:19">
      <c r="A25" s="36"/>
      <c r="B25" s="2" t="s">
        <v>81</v>
      </c>
      <c r="C25" s="3" t="s">
        <v>82</v>
      </c>
      <c r="D25" s="36"/>
      <c r="E25" s="36"/>
      <c r="F25" s="4">
        <v>1</v>
      </c>
      <c r="G25" s="33"/>
      <c r="H25" s="4">
        <v>1</v>
      </c>
      <c r="I25" s="33"/>
      <c r="J25" s="4">
        <v>1</v>
      </c>
      <c r="K25" s="33"/>
      <c r="L25" s="4">
        <v>1</v>
      </c>
      <c r="M25" s="33"/>
      <c r="N25" s="4">
        <v>1</v>
      </c>
      <c r="O25" s="33"/>
      <c r="P25" s="51">
        <v>4</v>
      </c>
      <c r="Q25" s="33"/>
      <c r="R25" s="55">
        <v>4</v>
      </c>
      <c r="S25" s="33"/>
    </row>
    <row r="26" spans="1:19">
      <c r="A26" s="36"/>
      <c r="B26" s="2" t="s">
        <v>83</v>
      </c>
      <c r="C26" s="3" t="s">
        <v>84</v>
      </c>
      <c r="D26" s="36"/>
      <c r="E26" s="36"/>
      <c r="F26" s="4">
        <v>1</v>
      </c>
      <c r="G26" s="33"/>
      <c r="H26" s="4">
        <v>1</v>
      </c>
      <c r="I26" s="33"/>
      <c r="J26" s="4">
        <v>1</v>
      </c>
      <c r="K26" s="33"/>
      <c r="L26" s="4">
        <v>1</v>
      </c>
      <c r="M26" s="33"/>
      <c r="N26" s="4">
        <v>2</v>
      </c>
      <c r="O26" s="33"/>
      <c r="P26" s="51">
        <v>6</v>
      </c>
      <c r="Q26" s="33"/>
      <c r="R26" s="55">
        <v>6</v>
      </c>
      <c r="S26" s="33"/>
    </row>
    <row r="27" spans="1:19">
      <c r="A27" s="36"/>
      <c r="B27" s="2" t="s">
        <v>91</v>
      </c>
      <c r="C27" s="3" t="s">
        <v>86</v>
      </c>
      <c r="D27" s="36"/>
      <c r="E27" s="36"/>
      <c r="F27" s="4">
        <v>10</v>
      </c>
      <c r="G27" s="33"/>
      <c r="H27" s="4">
        <v>10</v>
      </c>
      <c r="I27" s="33"/>
      <c r="J27" s="4">
        <v>10</v>
      </c>
      <c r="K27" s="33"/>
      <c r="L27" s="4">
        <v>10</v>
      </c>
      <c r="M27" s="33"/>
      <c r="N27" s="4">
        <v>10</v>
      </c>
      <c r="O27" s="33"/>
      <c r="P27" s="51">
        <v>4</v>
      </c>
      <c r="Q27" s="33"/>
      <c r="R27" s="55">
        <v>4</v>
      </c>
      <c r="S27" s="33"/>
    </row>
    <row r="28" spans="1:19">
      <c r="A28" s="36"/>
      <c r="B28" s="2" t="s">
        <v>85</v>
      </c>
      <c r="C28" s="3" t="s">
        <v>88</v>
      </c>
      <c r="D28" s="36"/>
      <c r="E28" s="36"/>
      <c r="F28" s="4">
        <v>1</v>
      </c>
      <c r="G28" s="33"/>
      <c r="H28" s="4">
        <v>1</v>
      </c>
      <c r="I28" s="33"/>
      <c r="J28" s="4">
        <v>1</v>
      </c>
      <c r="K28" s="33"/>
      <c r="L28" s="4">
        <v>1</v>
      </c>
      <c r="M28" s="33"/>
      <c r="N28" s="4">
        <v>1</v>
      </c>
      <c r="O28" s="33"/>
      <c r="P28" s="51">
        <v>5</v>
      </c>
      <c r="Q28" s="33"/>
      <c r="R28" s="55">
        <v>5</v>
      </c>
      <c r="S28" s="33"/>
    </row>
    <row r="29" spans="1:19">
      <c r="A29" s="36"/>
      <c r="B29" s="2" t="s">
        <v>87</v>
      </c>
      <c r="C29" s="3" t="s">
        <v>120</v>
      </c>
      <c r="D29" s="36"/>
      <c r="E29" s="36"/>
      <c r="F29" s="4">
        <v>8</v>
      </c>
      <c r="G29" s="33"/>
      <c r="H29" s="4">
        <v>8</v>
      </c>
      <c r="I29" s="33"/>
      <c r="J29" s="4">
        <v>10</v>
      </c>
      <c r="K29" s="33"/>
      <c r="L29" s="4">
        <v>8</v>
      </c>
      <c r="M29" s="33"/>
      <c r="N29" s="4">
        <v>9</v>
      </c>
      <c r="O29" s="33"/>
      <c r="P29" s="51">
        <v>9</v>
      </c>
      <c r="Q29" s="33"/>
      <c r="R29" s="55">
        <v>9</v>
      </c>
      <c r="S29" s="33"/>
    </row>
    <row r="30" spans="1:19">
      <c r="A30" s="36"/>
      <c r="B30" s="2" t="s">
        <v>89</v>
      </c>
      <c r="C30" s="3" t="s">
        <v>90</v>
      </c>
      <c r="D30" s="36"/>
      <c r="E30" s="36"/>
      <c r="F30" s="4">
        <v>1</v>
      </c>
      <c r="G30" s="33"/>
      <c r="H30" s="4">
        <v>1</v>
      </c>
      <c r="I30" s="33"/>
      <c r="J30" s="4">
        <v>4</v>
      </c>
      <c r="K30" s="33"/>
      <c r="L30" s="4">
        <v>8</v>
      </c>
      <c r="M30" s="33"/>
      <c r="N30" s="4">
        <v>5</v>
      </c>
      <c r="O30" s="33"/>
      <c r="P30" s="51">
        <v>1</v>
      </c>
      <c r="Q30" s="33"/>
      <c r="R30" s="55">
        <v>1</v>
      </c>
      <c r="S30" s="33"/>
    </row>
    <row r="31" spans="1:19">
      <c r="A31" s="36"/>
      <c r="B31" s="2" t="s">
        <v>92</v>
      </c>
      <c r="C31" s="3" t="s">
        <v>122</v>
      </c>
      <c r="D31" s="36"/>
      <c r="E31" s="36"/>
      <c r="F31" s="4">
        <v>1</v>
      </c>
      <c r="G31" s="33"/>
      <c r="H31" s="4">
        <v>7</v>
      </c>
      <c r="I31" s="33"/>
      <c r="J31" s="4">
        <v>7</v>
      </c>
      <c r="K31" s="33"/>
      <c r="L31" s="4">
        <v>10</v>
      </c>
      <c r="M31" s="33"/>
      <c r="N31" s="4">
        <v>7</v>
      </c>
      <c r="O31" s="33"/>
      <c r="P31" s="51">
        <v>4</v>
      </c>
      <c r="Q31" s="33"/>
      <c r="R31" s="55">
        <v>4</v>
      </c>
      <c r="S31" s="33"/>
    </row>
    <row r="32" spans="1:19">
      <c r="A32" s="38" t="s">
        <v>74</v>
      </c>
      <c r="B32" s="9" t="s">
        <v>75</v>
      </c>
      <c r="C32" s="10" t="s">
        <v>76</v>
      </c>
      <c r="D32" s="38" t="s">
        <v>7</v>
      </c>
      <c r="E32" s="38" t="s">
        <v>11</v>
      </c>
      <c r="F32" s="11">
        <v>7</v>
      </c>
      <c r="G32" s="40">
        <v>7.5</v>
      </c>
      <c r="H32" s="11">
        <v>6</v>
      </c>
      <c r="I32" s="40">
        <v>7.7</v>
      </c>
      <c r="J32" s="11">
        <v>6</v>
      </c>
      <c r="K32" s="40">
        <v>7.4</v>
      </c>
      <c r="L32" s="11">
        <v>5</v>
      </c>
      <c r="M32" s="40">
        <v>7.6</v>
      </c>
      <c r="N32" s="11">
        <v>6</v>
      </c>
      <c r="O32" s="40">
        <v>7.4</v>
      </c>
      <c r="P32" s="53">
        <v>7</v>
      </c>
      <c r="Q32" s="40">
        <f t="shared" ref="Q32" si="6">SUM(P32:P41)/10</f>
        <v>6.5</v>
      </c>
      <c r="R32" s="57">
        <v>7</v>
      </c>
      <c r="S32" s="40">
        <f t="shared" ref="S32" si="7">SUM(R32:R41)/10</f>
        <v>6.5</v>
      </c>
    </row>
    <row r="33" spans="1:19">
      <c r="A33" s="39"/>
      <c r="B33" s="9" t="s">
        <v>77</v>
      </c>
      <c r="C33" s="10" t="s">
        <v>78</v>
      </c>
      <c r="D33" s="39"/>
      <c r="E33" s="39"/>
      <c r="F33" s="11">
        <v>7</v>
      </c>
      <c r="G33" s="41"/>
      <c r="H33" s="11">
        <v>8</v>
      </c>
      <c r="I33" s="41"/>
      <c r="J33" s="11">
        <v>7</v>
      </c>
      <c r="K33" s="41"/>
      <c r="L33" s="11">
        <v>7</v>
      </c>
      <c r="M33" s="41"/>
      <c r="N33" s="11">
        <v>7</v>
      </c>
      <c r="O33" s="41"/>
      <c r="P33" s="53">
        <v>8</v>
      </c>
      <c r="Q33" s="41"/>
      <c r="R33" s="57">
        <v>8</v>
      </c>
      <c r="S33" s="41"/>
    </row>
    <row r="34" spans="1:19">
      <c r="A34" s="39"/>
      <c r="B34" s="9" t="s">
        <v>79</v>
      </c>
      <c r="C34" s="10" t="s">
        <v>80</v>
      </c>
      <c r="D34" s="39"/>
      <c r="E34" s="39"/>
      <c r="F34" s="11">
        <v>2</v>
      </c>
      <c r="G34" s="41"/>
      <c r="H34" s="11">
        <v>3</v>
      </c>
      <c r="I34" s="41"/>
      <c r="J34" s="11">
        <v>1</v>
      </c>
      <c r="K34" s="41"/>
      <c r="L34" s="11">
        <v>2</v>
      </c>
      <c r="M34" s="41"/>
      <c r="N34" s="11">
        <v>1</v>
      </c>
      <c r="O34" s="41"/>
      <c r="P34" s="53">
        <v>4</v>
      </c>
      <c r="Q34" s="41"/>
      <c r="R34" s="57">
        <v>4</v>
      </c>
      <c r="S34" s="41"/>
    </row>
    <row r="35" spans="1:19">
      <c r="A35" s="39"/>
      <c r="B35" s="9" t="s">
        <v>81</v>
      </c>
      <c r="C35" s="10" t="s">
        <v>82</v>
      </c>
      <c r="D35" s="39"/>
      <c r="E35" s="39"/>
      <c r="F35" s="11">
        <v>3</v>
      </c>
      <c r="G35" s="41"/>
      <c r="H35" s="11">
        <v>3</v>
      </c>
      <c r="I35" s="41"/>
      <c r="J35" s="11">
        <v>3</v>
      </c>
      <c r="K35" s="41"/>
      <c r="L35" s="11">
        <v>3</v>
      </c>
      <c r="M35" s="41"/>
      <c r="N35" s="11">
        <v>3</v>
      </c>
      <c r="O35" s="41"/>
      <c r="P35" s="53">
        <v>3</v>
      </c>
      <c r="Q35" s="41"/>
      <c r="R35" s="57">
        <v>3</v>
      </c>
      <c r="S35" s="41"/>
    </row>
    <row r="36" spans="1:19">
      <c r="A36" s="39"/>
      <c r="B36" s="9" t="s">
        <v>83</v>
      </c>
      <c r="C36" s="10" t="s">
        <v>84</v>
      </c>
      <c r="D36" s="39"/>
      <c r="E36" s="39"/>
      <c r="F36" s="11">
        <v>9</v>
      </c>
      <c r="G36" s="41"/>
      <c r="H36" s="11">
        <v>9</v>
      </c>
      <c r="I36" s="41"/>
      <c r="J36" s="11">
        <v>9</v>
      </c>
      <c r="K36" s="41"/>
      <c r="L36" s="11">
        <v>10</v>
      </c>
      <c r="M36" s="41"/>
      <c r="N36" s="11">
        <v>8</v>
      </c>
      <c r="O36" s="41"/>
      <c r="P36" s="53">
        <v>5</v>
      </c>
      <c r="Q36" s="41"/>
      <c r="R36" s="57">
        <v>5</v>
      </c>
      <c r="S36" s="41"/>
    </row>
    <row r="37" spans="1:19">
      <c r="A37" s="39"/>
      <c r="B37" s="9" t="s">
        <v>91</v>
      </c>
      <c r="C37" s="10" t="s">
        <v>86</v>
      </c>
      <c r="D37" s="39"/>
      <c r="E37" s="39"/>
      <c r="F37" s="11">
        <v>10</v>
      </c>
      <c r="G37" s="41"/>
      <c r="H37" s="11">
        <v>10</v>
      </c>
      <c r="I37" s="41"/>
      <c r="J37" s="11">
        <v>10</v>
      </c>
      <c r="K37" s="41"/>
      <c r="L37" s="11">
        <v>10</v>
      </c>
      <c r="M37" s="41"/>
      <c r="N37" s="11">
        <v>10</v>
      </c>
      <c r="O37" s="41"/>
      <c r="P37" s="53">
        <v>8</v>
      </c>
      <c r="Q37" s="41"/>
      <c r="R37" s="57">
        <v>8</v>
      </c>
      <c r="S37" s="41"/>
    </row>
    <row r="38" spans="1:19">
      <c r="A38" s="39"/>
      <c r="B38" s="9" t="s">
        <v>85</v>
      </c>
      <c r="C38" s="10" t="s">
        <v>88</v>
      </c>
      <c r="D38" s="39"/>
      <c r="E38" s="39"/>
      <c r="F38" s="11">
        <v>8</v>
      </c>
      <c r="G38" s="41"/>
      <c r="H38" s="11">
        <v>8</v>
      </c>
      <c r="I38" s="41"/>
      <c r="J38" s="11">
        <v>8</v>
      </c>
      <c r="K38" s="41"/>
      <c r="L38" s="11">
        <v>9</v>
      </c>
      <c r="M38" s="41"/>
      <c r="N38" s="11">
        <v>9</v>
      </c>
      <c r="O38" s="41"/>
      <c r="P38" s="53">
        <v>5</v>
      </c>
      <c r="Q38" s="41"/>
      <c r="R38" s="57">
        <v>5</v>
      </c>
      <c r="S38" s="41"/>
    </row>
    <row r="39" spans="1:19">
      <c r="A39" s="39"/>
      <c r="B39" s="9" t="s">
        <v>87</v>
      </c>
      <c r="C39" s="10" t="s">
        <v>120</v>
      </c>
      <c r="D39" s="39"/>
      <c r="E39" s="39"/>
      <c r="F39" s="11">
        <v>10</v>
      </c>
      <c r="G39" s="41"/>
      <c r="H39" s="11">
        <v>10</v>
      </c>
      <c r="I39" s="41"/>
      <c r="J39" s="11">
        <v>10</v>
      </c>
      <c r="K39" s="41"/>
      <c r="L39" s="11">
        <v>10</v>
      </c>
      <c r="M39" s="41"/>
      <c r="N39" s="11">
        <v>10</v>
      </c>
      <c r="O39" s="41"/>
      <c r="P39" s="53">
        <v>9</v>
      </c>
      <c r="Q39" s="41"/>
      <c r="R39" s="57">
        <v>9</v>
      </c>
      <c r="S39" s="41"/>
    </row>
    <row r="40" spans="1:19">
      <c r="A40" s="39"/>
      <c r="B40" s="9" t="s">
        <v>89</v>
      </c>
      <c r="C40" s="10" t="s">
        <v>90</v>
      </c>
      <c r="D40" s="39"/>
      <c r="E40" s="39"/>
      <c r="F40" s="11">
        <v>9</v>
      </c>
      <c r="G40" s="41"/>
      <c r="H40" s="11">
        <v>10</v>
      </c>
      <c r="I40" s="41"/>
      <c r="J40" s="11">
        <v>10</v>
      </c>
      <c r="K40" s="41"/>
      <c r="L40" s="11">
        <v>10</v>
      </c>
      <c r="M40" s="41"/>
      <c r="N40" s="11">
        <v>10</v>
      </c>
      <c r="O40" s="41"/>
      <c r="P40" s="53">
        <v>8</v>
      </c>
      <c r="Q40" s="41"/>
      <c r="R40" s="57">
        <v>8</v>
      </c>
      <c r="S40" s="41"/>
    </row>
    <row r="41" spans="1:19">
      <c r="A41" s="39"/>
      <c r="B41" s="9" t="s">
        <v>92</v>
      </c>
      <c r="C41" s="10" t="s">
        <v>122</v>
      </c>
      <c r="D41" s="39"/>
      <c r="E41" s="39"/>
      <c r="F41" s="11">
        <v>10</v>
      </c>
      <c r="G41" s="41"/>
      <c r="H41" s="11">
        <v>10</v>
      </c>
      <c r="I41" s="41"/>
      <c r="J41" s="11">
        <v>10</v>
      </c>
      <c r="K41" s="41"/>
      <c r="L41" s="11">
        <v>10</v>
      </c>
      <c r="M41" s="41"/>
      <c r="N41" s="11">
        <v>10</v>
      </c>
      <c r="O41" s="41"/>
      <c r="P41" s="53">
        <v>8</v>
      </c>
      <c r="Q41" s="41"/>
      <c r="R41" s="57">
        <v>8</v>
      </c>
      <c r="S41" s="41"/>
    </row>
    <row r="42" spans="1:19">
      <c r="A42" s="35" t="s">
        <v>74</v>
      </c>
      <c r="B42" s="2" t="s">
        <v>75</v>
      </c>
      <c r="C42" s="3" t="s">
        <v>76</v>
      </c>
      <c r="D42" s="35" t="s">
        <v>7</v>
      </c>
      <c r="E42" s="35" t="s">
        <v>12</v>
      </c>
      <c r="F42" s="4">
        <v>8</v>
      </c>
      <c r="G42" s="32">
        <v>9.1</v>
      </c>
      <c r="H42" s="4">
        <v>7</v>
      </c>
      <c r="I42" s="32">
        <v>9</v>
      </c>
      <c r="J42" s="4">
        <v>6</v>
      </c>
      <c r="K42" s="32">
        <v>9</v>
      </c>
      <c r="L42" s="4">
        <v>6</v>
      </c>
      <c r="M42" s="32">
        <v>9.1</v>
      </c>
      <c r="N42" s="4">
        <v>7</v>
      </c>
      <c r="O42" s="32">
        <v>9.1999999999999993</v>
      </c>
      <c r="P42" s="51">
        <v>7</v>
      </c>
      <c r="Q42" s="32">
        <f t="shared" ref="Q42" si="8">SUM(P42:P51)/10</f>
        <v>8.6999999999999993</v>
      </c>
      <c r="R42" s="55">
        <v>7</v>
      </c>
      <c r="S42" s="32">
        <f t="shared" ref="S42" si="9">SUM(R42:R51)/10</f>
        <v>8.6999999999999993</v>
      </c>
    </row>
    <row r="43" spans="1:19">
      <c r="A43" s="36"/>
      <c r="B43" s="2" t="s">
        <v>77</v>
      </c>
      <c r="C43" s="3" t="s">
        <v>78</v>
      </c>
      <c r="D43" s="36"/>
      <c r="E43" s="36"/>
      <c r="F43" s="4">
        <v>8</v>
      </c>
      <c r="G43" s="33"/>
      <c r="H43" s="4">
        <v>8</v>
      </c>
      <c r="I43" s="33"/>
      <c r="J43" s="4">
        <v>8</v>
      </c>
      <c r="K43" s="33"/>
      <c r="L43" s="4">
        <v>8</v>
      </c>
      <c r="M43" s="33"/>
      <c r="N43" s="4">
        <v>8</v>
      </c>
      <c r="O43" s="33"/>
      <c r="P43" s="51">
        <v>9</v>
      </c>
      <c r="Q43" s="33"/>
      <c r="R43" s="55">
        <v>9</v>
      </c>
      <c r="S43" s="33"/>
    </row>
    <row r="44" spans="1:19">
      <c r="A44" s="36"/>
      <c r="B44" s="2" t="s">
        <v>79</v>
      </c>
      <c r="C44" s="3" t="s">
        <v>80</v>
      </c>
      <c r="D44" s="36"/>
      <c r="E44" s="36"/>
      <c r="F44" s="4">
        <v>6</v>
      </c>
      <c r="G44" s="33"/>
      <c r="H44" s="4">
        <v>7</v>
      </c>
      <c r="I44" s="33"/>
      <c r="J44" s="4">
        <v>7</v>
      </c>
      <c r="K44" s="33"/>
      <c r="L44" s="4">
        <v>7</v>
      </c>
      <c r="M44" s="33"/>
      <c r="N44" s="4">
        <v>7</v>
      </c>
      <c r="O44" s="33"/>
      <c r="P44" s="51">
        <v>8</v>
      </c>
      <c r="Q44" s="33"/>
      <c r="R44" s="55">
        <v>8</v>
      </c>
      <c r="S44" s="33"/>
    </row>
    <row r="45" spans="1:19">
      <c r="A45" s="36"/>
      <c r="B45" s="2" t="s">
        <v>81</v>
      </c>
      <c r="C45" s="3" t="s">
        <v>82</v>
      </c>
      <c r="D45" s="36"/>
      <c r="E45" s="36"/>
      <c r="F45" s="4">
        <v>9</v>
      </c>
      <c r="G45" s="33"/>
      <c r="H45" s="4">
        <v>10</v>
      </c>
      <c r="I45" s="33"/>
      <c r="J45" s="4">
        <v>9</v>
      </c>
      <c r="K45" s="33"/>
      <c r="L45" s="4">
        <v>10</v>
      </c>
      <c r="M45" s="33"/>
      <c r="N45" s="4">
        <v>10</v>
      </c>
      <c r="O45" s="33"/>
      <c r="P45" s="51">
        <v>9</v>
      </c>
      <c r="Q45" s="33"/>
      <c r="R45" s="55">
        <v>9</v>
      </c>
      <c r="S45" s="33"/>
    </row>
    <row r="46" spans="1:19">
      <c r="A46" s="36"/>
      <c r="B46" s="2" t="s">
        <v>83</v>
      </c>
      <c r="C46" s="3" t="s">
        <v>84</v>
      </c>
      <c r="D46" s="36"/>
      <c r="E46" s="36"/>
      <c r="F46" s="4">
        <v>10</v>
      </c>
      <c r="G46" s="33"/>
      <c r="H46" s="4">
        <v>10</v>
      </c>
      <c r="I46" s="33"/>
      <c r="J46" s="4">
        <v>10</v>
      </c>
      <c r="K46" s="33"/>
      <c r="L46" s="4">
        <v>10</v>
      </c>
      <c r="M46" s="33"/>
      <c r="N46" s="4">
        <v>10</v>
      </c>
      <c r="O46" s="33"/>
      <c r="P46" s="51">
        <v>8</v>
      </c>
      <c r="Q46" s="33"/>
      <c r="R46" s="55">
        <v>8</v>
      </c>
      <c r="S46" s="33"/>
    </row>
    <row r="47" spans="1:19">
      <c r="A47" s="36"/>
      <c r="B47" s="2" t="s">
        <v>91</v>
      </c>
      <c r="C47" s="3" t="s">
        <v>86</v>
      </c>
      <c r="D47" s="36"/>
      <c r="E47" s="36"/>
      <c r="F47" s="4">
        <v>10</v>
      </c>
      <c r="G47" s="33"/>
      <c r="H47" s="4">
        <v>10</v>
      </c>
      <c r="I47" s="33"/>
      <c r="J47" s="4">
        <v>10</v>
      </c>
      <c r="K47" s="33"/>
      <c r="L47" s="4">
        <v>10</v>
      </c>
      <c r="M47" s="33"/>
      <c r="N47" s="4">
        <v>10</v>
      </c>
      <c r="O47" s="33"/>
      <c r="P47" s="51">
        <v>9</v>
      </c>
      <c r="Q47" s="33"/>
      <c r="R47" s="55">
        <v>9</v>
      </c>
      <c r="S47" s="33"/>
    </row>
    <row r="48" spans="1:19">
      <c r="A48" s="36"/>
      <c r="B48" s="2" t="s">
        <v>85</v>
      </c>
      <c r="C48" s="3" t="s">
        <v>88</v>
      </c>
      <c r="D48" s="36"/>
      <c r="E48" s="36"/>
      <c r="F48" s="4">
        <v>10</v>
      </c>
      <c r="G48" s="33"/>
      <c r="H48" s="4">
        <v>10</v>
      </c>
      <c r="I48" s="33"/>
      <c r="J48" s="4">
        <v>10</v>
      </c>
      <c r="K48" s="33"/>
      <c r="L48" s="4">
        <v>10</v>
      </c>
      <c r="M48" s="33"/>
      <c r="N48" s="4">
        <v>10</v>
      </c>
      <c r="O48" s="33"/>
      <c r="P48" s="51">
        <v>10</v>
      </c>
      <c r="Q48" s="33"/>
      <c r="R48" s="55">
        <v>10</v>
      </c>
      <c r="S48" s="33"/>
    </row>
    <row r="49" spans="1:19">
      <c r="A49" s="36"/>
      <c r="B49" s="2" t="s">
        <v>87</v>
      </c>
      <c r="C49" s="3" t="s">
        <v>120</v>
      </c>
      <c r="D49" s="36"/>
      <c r="E49" s="36"/>
      <c r="F49" s="4">
        <v>10</v>
      </c>
      <c r="G49" s="33"/>
      <c r="H49" s="4">
        <v>8</v>
      </c>
      <c r="I49" s="33"/>
      <c r="J49" s="4">
        <v>10</v>
      </c>
      <c r="K49" s="33"/>
      <c r="L49" s="4">
        <v>10</v>
      </c>
      <c r="M49" s="33"/>
      <c r="N49" s="4">
        <v>10</v>
      </c>
      <c r="O49" s="33"/>
      <c r="P49" s="51">
        <v>9</v>
      </c>
      <c r="Q49" s="33"/>
      <c r="R49" s="55">
        <v>9</v>
      </c>
      <c r="S49" s="33"/>
    </row>
    <row r="50" spans="1:19">
      <c r="A50" s="36"/>
      <c r="B50" s="2" t="s">
        <v>89</v>
      </c>
      <c r="C50" s="3" t="s">
        <v>90</v>
      </c>
      <c r="D50" s="36"/>
      <c r="E50" s="36"/>
      <c r="F50" s="4">
        <v>10</v>
      </c>
      <c r="G50" s="33"/>
      <c r="H50" s="4">
        <v>10</v>
      </c>
      <c r="I50" s="33"/>
      <c r="J50" s="4">
        <v>10</v>
      </c>
      <c r="K50" s="33"/>
      <c r="L50" s="4">
        <v>10</v>
      </c>
      <c r="M50" s="33"/>
      <c r="N50" s="4">
        <v>10</v>
      </c>
      <c r="O50" s="33"/>
      <c r="P50" s="51">
        <v>9</v>
      </c>
      <c r="Q50" s="33"/>
      <c r="R50" s="55">
        <v>9</v>
      </c>
      <c r="S50" s="33"/>
    </row>
    <row r="51" spans="1:19">
      <c r="A51" s="36"/>
      <c r="B51" s="2" t="s">
        <v>92</v>
      </c>
      <c r="C51" s="3" t="s">
        <v>122</v>
      </c>
      <c r="D51" s="36"/>
      <c r="E51" s="36"/>
      <c r="F51" s="4">
        <v>10</v>
      </c>
      <c r="G51" s="33"/>
      <c r="H51" s="4">
        <v>10</v>
      </c>
      <c r="I51" s="33"/>
      <c r="J51" s="4">
        <v>10</v>
      </c>
      <c r="K51" s="33"/>
      <c r="L51" s="4">
        <v>10</v>
      </c>
      <c r="M51" s="33"/>
      <c r="N51" s="4">
        <v>10</v>
      </c>
      <c r="O51" s="33"/>
      <c r="P51" s="51">
        <v>9</v>
      </c>
      <c r="Q51" s="33"/>
      <c r="R51" s="55">
        <v>9</v>
      </c>
      <c r="S51" s="33"/>
    </row>
    <row r="52" spans="1:19">
      <c r="A52" s="38" t="s">
        <v>74</v>
      </c>
      <c r="B52" s="9" t="s">
        <v>75</v>
      </c>
      <c r="C52" s="10" t="s">
        <v>76</v>
      </c>
      <c r="D52" s="38" t="s">
        <v>7</v>
      </c>
      <c r="E52" s="38" t="s">
        <v>13</v>
      </c>
      <c r="F52" s="11">
        <v>9</v>
      </c>
      <c r="G52" s="40">
        <v>7.4</v>
      </c>
      <c r="H52" s="11">
        <v>9</v>
      </c>
      <c r="I52" s="40">
        <v>7</v>
      </c>
      <c r="J52" s="11">
        <v>9</v>
      </c>
      <c r="K52" s="40">
        <v>7.4</v>
      </c>
      <c r="L52" s="11">
        <v>9</v>
      </c>
      <c r="M52" s="40">
        <v>7.1</v>
      </c>
      <c r="N52" s="11">
        <v>9</v>
      </c>
      <c r="O52" s="40">
        <v>7.3</v>
      </c>
      <c r="P52" s="53">
        <v>10</v>
      </c>
      <c r="Q52" s="40">
        <f t="shared" ref="Q52" si="10">SUM(P52:P61)/10</f>
        <v>5.3</v>
      </c>
      <c r="R52" s="57">
        <v>10</v>
      </c>
      <c r="S52" s="40">
        <f t="shared" ref="S52" si="11">SUM(R52:R61)/10</f>
        <v>5.3</v>
      </c>
    </row>
    <row r="53" spans="1:19">
      <c r="A53" s="39"/>
      <c r="B53" s="9" t="s">
        <v>77</v>
      </c>
      <c r="C53" s="10" t="s">
        <v>78</v>
      </c>
      <c r="D53" s="39"/>
      <c r="E53" s="39"/>
      <c r="F53" s="11">
        <v>2</v>
      </c>
      <c r="G53" s="41"/>
      <c r="H53" s="11">
        <v>3</v>
      </c>
      <c r="I53" s="41"/>
      <c r="J53" s="11">
        <v>3</v>
      </c>
      <c r="K53" s="41"/>
      <c r="L53" s="11">
        <v>3</v>
      </c>
      <c r="M53" s="41"/>
      <c r="N53" s="11">
        <v>4</v>
      </c>
      <c r="O53" s="41"/>
      <c r="P53" s="53">
        <v>10</v>
      </c>
      <c r="Q53" s="41"/>
      <c r="R53" s="57">
        <v>10</v>
      </c>
      <c r="S53" s="41"/>
    </row>
    <row r="54" spans="1:19">
      <c r="A54" s="39"/>
      <c r="B54" s="9" t="s">
        <v>79</v>
      </c>
      <c r="C54" s="10" t="s">
        <v>80</v>
      </c>
      <c r="D54" s="39"/>
      <c r="E54" s="39"/>
      <c r="F54" s="11">
        <v>1</v>
      </c>
      <c r="G54" s="41"/>
      <c r="H54" s="11">
        <v>1</v>
      </c>
      <c r="I54" s="41"/>
      <c r="J54" s="11">
        <v>1</v>
      </c>
      <c r="K54" s="41"/>
      <c r="L54" s="11">
        <v>1</v>
      </c>
      <c r="M54" s="41"/>
      <c r="N54" s="11">
        <v>1</v>
      </c>
      <c r="O54" s="41"/>
      <c r="P54" s="53">
        <v>10</v>
      </c>
      <c r="Q54" s="41"/>
      <c r="R54" s="57">
        <v>10</v>
      </c>
      <c r="S54" s="41"/>
    </row>
    <row r="55" spans="1:19">
      <c r="A55" s="39"/>
      <c r="B55" s="9" t="s">
        <v>81</v>
      </c>
      <c r="C55" s="10" t="s">
        <v>82</v>
      </c>
      <c r="D55" s="39"/>
      <c r="E55" s="39"/>
      <c r="F55" s="11">
        <v>2</v>
      </c>
      <c r="G55" s="41"/>
      <c r="H55" s="11">
        <v>2</v>
      </c>
      <c r="I55" s="41"/>
      <c r="J55" s="11">
        <v>3</v>
      </c>
      <c r="K55" s="41"/>
      <c r="L55" s="11">
        <v>1</v>
      </c>
      <c r="M55" s="41"/>
      <c r="N55" s="11">
        <v>1</v>
      </c>
      <c r="O55" s="41"/>
      <c r="P55" s="53">
        <v>9</v>
      </c>
      <c r="Q55" s="41"/>
      <c r="R55" s="57">
        <v>9</v>
      </c>
      <c r="S55" s="41"/>
    </row>
    <row r="56" spans="1:19">
      <c r="A56" s="39"/>
      <c r="B56" s="9" t="s">
        <v>83</v>
      </c>
      <c r="C56" s="10" t="s">
        <v>84</v>
      </c>
      <c r="D56" s="39"/>
      <c r="E56" s="39"/>
      <c r="F56" s="11">
        <v>10</v>
      </c>
      <c r="G56" s="41"/>
      <c r="H56" s="11">
        <v>9</v>
      </c>
      <c r="I56" s="41"/>
      <c r="J56" s="11">
        <v>9</v>
      </c>
      <c r="K56" s="41"/>
      <c r="L56" s="11">
        <v>9</v>
      </c>
      <c r="M56" s="41"/>
      <c r="N56" s="11">
        <v>9</v>
      </c>
      <c r="O56" s="41"/>
      <c r="P56" s="53">
        <v>2</v>
      </c>
      <c r="Q56" s="41"/>
      <c r="R56" s="57">
        <v>2</v>
      </c>
      <c r="S56" s="41"/>
    </row>
    <row r="57" spans="1:19">
      <c r="A57" s="39"/>
      <c r="B57" s="9" t="s">
        <v>91</v>
      </c>
      <c r="C57" s="10" t="s">
        <v>86</v>
      </c>
      <c r="D57" s="39"/>
      <c r="E57" s="39"/>
      <c r="F57" s="11">
        <v>10</v>
      </c>
      <c r="G57" s="41"/>
      <c r="H57" s="11">
        <v>10</v>
      </c>
      <c r="I57" s="41"/>
      <c r="J57" s="11">
        <v>10</v>
      </c>
      <c r="K57" s="41"/>
      <c r="L57" s="11">
        <v>10</v>
      </c>
      <c r="M57" s="41"/>
      <c r="N57" s="11">
        <v>10</v>
      </c>
      <c r="O57" s="41"/>
      <c r="P57" s="53">
        <v>1</v>
      </c>
      <c r="Q57" s="41"/>
      <c r="R57" s="57">
        <v>1</v>
      </c>
      <c r="S57" s="41"/>
    </row>
    <row r="58" spans="1:19">
      <c r="A58" s="39"/>
      <c r="B58" s="9" t="s">
        <v>85</v>
      </c>
      <c r="C58" s="10" t="s">
        <v>88</v>
      </c>
      <c r="D58" s="39"/>
      <c r="E58" s="39"/>
      <c r="F58" s="11">
        <v>10</v>
      </c>
      <c r="G58" s="41"/>
      <c r="H58" s="11">
        <v>9</v>
      </c>
      <c r="I58" s="41"/>
      <c r="J58" s="11">
        <v>9</v>
      </c>
      <c r="K58" s="41"/>
      <c r="L58" s="11">
        <v>9</v>
      </c>
      <c r="M58" s="41"/>
      <c r="N58" s="11">
        <v>9</v>
      </c>
      <c r="O58" s="41"/>
      <c r="P58" s="53">
        <v>2</v>
      </c>
      <c r="Q58" s="41"/>
      <c r="R58" s="57">
        <v>2</v>
      </c>
      <c r="S58" s="41"/>
    </row>
    <row r="59" spans="1:19">
      <c r="A59" s="39"/>
      <c r="B59" s="9" t="s">
        <v>87</v>
      </c>
      <c r="C59" s="10" t="s">
        <v>120</v>
      </c>
      <c r="D59" s="39"/>
      <c r="E59" s="39"/>
      <c r="F59" s="11">
        <v>10</v>
      </c>
      <c r="G59" s="41"/>
      <c r="H59" s="11">
        <v>7</v>
      </c>
      <c r="I59" s="41"/>
      <c r="J59" s="11">
        <v>10</v>
      </c>
      <c r="K59" s="41"/>
      <c r="L59" s="11">
        <v>10</v>
      </c>
      <c r="M59" s="41"/>
      <c r="N59" s="11">
        <v>10</v>
      </c>
      <c r="O59" s="41"/>
      <c r="P59" s="53">
        <v>1</v>
      </c>
      <c r="Q59" s="41"/>
      <c r="R59" s="57">
        <v>1</v>
      </c>
      <c r="S59" s="41"/>
    </row>
    <row r="60" spans="1:19">
      <c r="A60" s="39"/>
      <c r="B60" s="9" t="s">
        <v>89</v>
      </c>
      <c r="C60" s="10" t="s">
        <v>90</v>
      </c>
      <c r="D60" s="39"/>
      <c r="E60" s="39"/>
      <c r="F60" s="11">
        <v>10</v>
      </c>
      <c r="G60" s="41"/>
      <c r="H60" s="11">
        <v>10</v>
      </c>
      <c r="I60" s="41"/>
      <c r="J60" s="11">
        <v>10</v>
      </c>
      <c r="K60" s="41"/>
      <c r="L60" s="11">
        <v>9</v>
      </c>
      <c r="M60" s="41"/>
      <c r="N60" s="11">
        <v>10</v>
      </c>
      <c r="O60" s="41"/>
      <c r="P60" s="53">
        <v>7</v>
      </c>
      <c r="Q60" s="41"/>
      <c r="R60" s="57">
        <v>7</v>
      </c>
      <c r="S60" s="41"/>
    </row>
    <row r="61" spans="1:19">
      <c r="A61" s="39"/>
      <c r="B61" s="9" t="s">
        <v>92</v>
      </c>
      <c r="C61" s="10" t="s">
        <v>122</v>
      </c>
      <c r="D61" s="39"/>
      <c r="E61" s="39"/>
      <c r="F61" s="11">
        <v>10</v>
      </c>
      <c r="G61" s="41"/>
      <c r="H61" s="11">
        <v>10</v>
      </c>
      <c r="I61" s="41"/>
      <c r="J61" s="11">
        <v>10</v>
      </c>
      <c r="K61" s="41"/>
      <c r="L61" s="11">
        <v>10</v>
      </c>
      <c r="M61" s="41"/>
      <c r="N61" s="11">
        <v>10</v>
      </c>
      <c r="O61" s="41"/>
      <c r="P61" s="53">
        <v>1</v>
      </c>
      <c r="Q61" s="41"/>
      <c r="R61" s="57">
        <v>1</v>
      </c>
      <c r="S61" s="41"/>
    </row>
    <row r="62" spans="1:19">
      <c r="A62" s="35" t="s">
        <v>74</v>
      </c>
      <c r="B62" s="2" t="s">
        <v>75</v>
      </c>
      <c r="C62" s="3" t="s">
        <v>76</v>
      </c>
      <c r="D62" s="35" t="s">
        <v>7</v>
      </c>
      <c r="E62" s="35" t="s">
        <v>73</v>
      </c>
      <c r="F62" s="4">
        <v>10</v>
      </c>
      <c r="G62" s="32">
        <v>7</v>
      </c>
      <c r="H62" s="4">
        <v>9</v>
      </c>
      <c r="I62" s="32">
        <v>6.8</v>
      </c>
      <c r="J62" s="4">
        <v>9</v>
      </c>
      <c r="K62" s="32">
        <v>6.9</v>
      </c>
      <c r="L62" s="4">
        <v>10</v>
      </c>
      <c r="M62" s="32">
        <v>7.1</v>
      </c>
      <c r="N62" s="4">
        <v>10</v>
      </c>
      <c r="O62" s="32">
        <v>7</v>
      </c>
      <c r="P62" s="51">
        <v>1</v>
      </c>
      <c r="Q62" s="32">
        <f t="shared" ref="Q62" si="12">SUM(P62:P71)/10</f>
        <v>2.6</v>
      </c>
      <c r="R62" s="55">
        <v>1</v>
      </c>
      <c r="S62" s="32">
        <f t="shared" ref="S62" si="13">SUM(R62:R71)/10</f>
        <v>2.6</v>
      </c>
    </row>
    <row r="63" spans="1:19">
      <c r="A63" s="36"/>
      <c r="B63" s="2" t="s">
        <v>77</v>
      </c>
      <c r="C63" s="3" t="s">
        <v>78</v>
      </c>
      <c r="D63" s="36"/>
      <c r="E63" s="36"/>
      <c r="F63" s="4">
        <v>3</v>
      </c>
      <c r="G63" s="33"/>
      <c r="H63" s="4">
        <v>3</v>
      </c>
      <c r="I63" s="33"/>
      <c r="J63" s="4">
        <v>3</v>
      </c>
      <c r="K63" s="33"/>
      <c r="L63" s="4">
        <v>3</v>
      </c>
      <c r="M63" s="33"/>
      <c r="N63" s="4">
        <v>3</v>
      </c>
      <c r="O63" s="33"/>
      <c r="P63" s="51">
        <v>1</v>
      </c>
      <c r="Q63" s="33"/>
      <c r="R63" s="55">
        <v>1</v>
      </c>
      <c r="S63" s="33"/>
    </row>
    <row r="64" spans="1:19">
      <c r="A64" s="36"/>
      <c r="B64" s="2" t="s">
        <v>79</v>
      </c>
      <c r="C64" s="3" t="s">
        <v>80</v>
      </c>
      <c r="D64" s="36"/>
      <c r="E64" s="36"/>
      <c r="F64" s="4">
        <v>1</v>
      </c>
      <c r="G64" s="33"/>
      <c r="H64" s="4">
        <v>1</v>
      </c>
      <c r="I64" s="33"/>
      <c r="J64" s="4">
        <v>1</v>
      </c>
      <c r="K64" s="33"/>
      <c r="L64" s="4">
        <v>1</v>
      </c>
      <c r="M64" s="33"/>
      <c r="N64" s="4">
        <v>1</v>
      </c>
      <c r="O64" s="33"/>
      <c r="P64" s="51">
        <v>2</v>
      </c>
      <c r="Q64" s="33"/>
      <c r="R64" s="55">
        <v>2</v>
      </c>
      <c r="S64" s="33"/>
    </row>
    <row r="65" spans="1:19">
      <c r="A65" s="36"/>
      <c r="B65" s="2" t="s">
        <v>81</v>
      </c>
      <c r="C65" s="3" t="s">
        <v>82</v>
      </c>
      <c r="D65" s="36"/>
      <c r="E65" s="36"/>
      <c r="F65" s="4">
        <v>1</v>
      </c>
      <c r="G65" s="33"/>
      <c r="H65" s="4">
        <v>1</v>
      </c>
      <c r="I65" s="33"/>
      <c r="J65" s="4">
        <v>1</v>
      </c>
      <c r="K65" s="33"/>
      <c r="L65" s="4">
        <v>1</v>
      </c>
      <c r="M65" s="33"/>
      <c r="N65" s="4">
        <v>1</v>
      </c>
      <c r="O65" s="33"/>
      <c r="P65" s="51">
        <v>3</v>
      </c>
      <c r="Q65" s="33"/>
      <c r="R65" s="55">
        <v>3</v>
      </c>
      <c r="S65" s="33"/>
    </row>
    <row r="66" spans="1:19">
      <c r="A66" s="36"/>
      <c r="B66" s="2" t="s">
        <v>83</v>
      </c>
      <c r="C66" s="3" t="s">
        <v>84</v>
      </c>
      <c r="D66" s="36"/>
      <c r="E66" s="36"/>
      <c r="F66" s="4">
        <v>7</v>
      </c>
      <c r="G66" s="33"/>
      <c r="H66" s="4">
        <v>7</v>
      </c>
      <c r="I66" s="33"/>
      <c r="J66" s="4">
        <v>7</v>
      </c>
      <c r="K66" s="33"/>
      <c r="L66" s="4">
        <v>8</v>
      </c>
      <c r="M66" s="33"/>
      <c r="N66" s="4">
        <v>7</v>
      </c>
      <c r="O66" s="33"/>
      <c r="P66" s="51">
        <v>3</v>
      </c>
      <c r="Q66" s="33"/>
      <c r="R66" s="55">
        <v>3</v>
      </c>
      <c r="S66" s="33"/>
    </row>
    <row r="67" spans="1:19">
      <c r="A67" s="36"/>
      <c r="B67" s="2" t="s">
        <v>91</v>
      </c>
      <c r="C67" s="3" t="s">
        <v>86</v>
      </c>
      <c r="D67" s="36"/>
      <c r="E67" s="36"/>
      <c r="F67" s="4">
        <v>10</v>
      </c>
      <c r="G67" s="33"/>
      <c r="H67" s="4">
        <v>10</v>
      </c>
      <c r="I67" s="33"/>
      <c r="J67" s="4">
        <v>10</v>
      </c>
      <c r="K67" s="33"/>
      <c r="L67" s="4">
        <v>10</v>
      </c>
      <c r="M67" s="33"/>
      <c r="N67" s="4">
        <v>10</v>
      </c>
      <c r="O67" s="33"/>
      <c r="P67" s="51">
        <v>5</v>
      </c>
      <c r="Q67" s="33"/>
      <c r="R67" s="55">
        <v>5</v>
      </c>
      <c r="S67" s="33"/>
    </row>
    <row r="68" spans="1:19">
      <c r="A68" s="36"/>
      <c r="B68" s="2" t="s">
        <v>85</v>
      </c>
      <c r="C68" s="3" t="s">
        <v>88</v>
      </c>
      <c r="D68" s="36"/>
      <c r="E68" s="36"/>
      <c r="F68" s="4">
        <v>8</v>
      </c>
      <c r="G68" s="33"/>
      <c r="H68" s="4">
        <v>7</v>
      </c>
      <c r="I68" s="33"/>
      <c r="J68" s="4">
        <v>8</v>
      </c>
      <c r="K68" s="33"/>
      <c r="L68" s="4">
        <v>8</v>
      </c>
      <c r="M68" s="33"/>
      <c r="N68" s="4">
        <v>8</v>
      </c>
      <c r="O68" s="33"/>
      <c r="P68" s="51">
        <v>3</v>
      </c>
      <c r="Q68" s="33"/>
      <c r="R68" s="55">
        <v>3</v>
      </c>
      <c r="S68" s="33"/>
    </row>
    <row r="69" spans="1:19">
      <c r="A69" s="36"/>
      <c r="B69" s="2" t="s">
        <v>87</v>
      </c>
      <c r="C69" s="3" t="s">
        <v>120</v>
      </c>
      <c r="D69" s="36"/>
      <c r="E69" s="36"/>
      <c r="F69" s="4">
        <v>10</v>
      </c>
      <c r="G69" s="33"/>
      <c r="H69" s="4">
        <v>10</v>
      </c>
      <c r="I69" s="33"/>
      <c r="J69" s="4">
        <v>10</v>
      </c>
      <c r="K69" s="33"/>
      <c r="L69" s="4">
        <v>10</v>
      </c>
      <c r="M69" s="33"/>
      <c r="N69" s="4">
        <v>10</v>
      </c>
      <c r="O69" s="33"/>
      <c r="P69" s="51">
        <v>2</v>
      </c>
      <c r="Q69" s="33"/>
      <c r="R69" s="55">
        <v>2</v>
      </c>
      <c r="S69" s="33"/>
    </row>
    <row r="70" spans="1:19">
      <c r="A70" s="36"/>
      <c r="B70" s="2" t="s">
        <v>89</v>
      </c>
      <c r="C70" s="3" t="s">
        <v>90</v>
      </c>
      <c r="D70" s="36"/>
      <c r="E70" s="36"/>
      <c r="F70" s="4">
        <v>10</v>
      </c>
      <c r="G70" s="33"/>
      <c r="H70" s="4">
        <v>10</v>
      </c>
      <c r="I70" s="33"/>
      <c r="J70" s="4">
        <v>10</v>
      </c>
      <c r="K70" s="33"/>
      <c r="L70" s="4">
        <v>10</v>
      </c>
      <c r="M70" s="33"/>
      <c r="N70" s="4">
        <v>10</v>
      </c>
      <c r="O70" s="33"/>
      <c r="P70" s="51">
        <v>2</v>
      </c>
      <c r="Q70" s="33"/>
      <c r="R70" s="55">
        <v>2</v>
      </c>
      <c r="S70" s="33"/>
    </row>
    <row r="71" spans="1:19">
      <c r="A71" s="36"/>
      <c r="B71" s="2" t="s">
        <v>92</v>
      </c>
      <c r="C71" s="3" t="s">
        <v>122</v>
      </c>
      <c r="D71" s="36"/>
      <c r="E71" s="36"/>
      <c r="F71" s="4">
        <v>10</v>
      </c>
      <c r="G71" s="33"/>
      <c r="H71" s="4">
        <v>10</v>
      </c>
      <c r="I71" s="33"/>
      <c r="J71" s="4">
        <v>10</v>
      </c>
      <c r="K71" s="33"/>
      <c r="L71" s="4">
        <v>10</v>
      </c>
      <c r="M71" s="33"/>
      <c r="N71" s="4">
        <v>10</v>
      </c>
      <c r="O71" s="33"/>
      <c r="P71" s="51">
        <v>4</v>
      </c>
      <c r="Q71" s="33"/>
      <c r="R71" s="55">
        <v>4</v>
      </c>
      <c r="S71" s="33"/>
    </row>
    <row r="72" spans="1:19">
      <c r="A72" s="38" t="s">
        <v>74</v>
      </c>
      <c r="B72" s="9" t="s">
        <v>75</v>
      </c>
      <c r="C72" s="10" t="s">
        <v>76</v>
      </c>
      <c r="D72" s="38" t="s">
        <v>14</v>
      </c>
      <c r="E72" s="38" t="s">
        <v>15</v>
      </c>
      <c r="F72" s="11">
        <v>9</v>
      </c>
      <c r="G72" s="40">
        <v>7.1</v>
      </c>
      <c r="H72" s="11">
        <v>9</v>
      </c>
      <c r="I72" s="40">
        <v>5.6</v>
      </c>
      <c r="J72" s="11">
        <v>9</v>
      </c>
      <c r="K72" s="40">
        <v>6.7</v>
      </c>
      <c r="L72" s="11">
        <v>9</v>
      </c>
      <c r="M72" s="40">
        <v>7.2</v>
      </c>
      <c r="N72" s="11">
        <v>9</v>
      </c>
      <c r="O72" s="40">
        <v>6.9</v>
      </c>
      <c r="P72" s="53">
        <v>7</v>
      </c>
      <c r="Q72" s="40">
        <f t="shared" ref="Q72" si="14">SUM(P72:P81)/10</f>
        <v>7.3</v>
      </c>
      <c r="R72" s="57">
        <v>7</v>
      </c>
      <c r="S72" s="40">
        <f t="shared" ref="S72" si="15">SUM(R72:R81)/10</f>
        <v>7.3</v>
      </c>
    </row>
    <row r="73" spans="1:19">
      <c r="A73" s="39"/>
      <c r="B73" s="9" t="s">
        <v>77</v>
      </c>
      <c r="C73" s="10" t="s">
        <v>78</v>
      </c>
      <c r="D73" s="39"/>
      <c r="E73" s="39"/>
      <c r="F73" s="11">
        <v>5</v>
      </c>
      <c r="G73" s="41"/>
      <c r="H73" s="11">
        <v>5</v>
      </c>
      <c r="I73" s="41"/>
      <c r="J73" s="11">
        <v>4</v>
      </c>
      <c r="K73" s="41"/>
      <c r="L73" s="11">
        <v>5</v>
      </c>
      <c r="M73" s="41"/>
      <c r="N73" s="11">
        <v>5</v>
      </c>
      <c r="O73" s="41"/>
      <c r="P73" s="53">
        <v>8</v>
      </c>
      <c r="Q73" s="41"/>
      <c r="R73" s="57">
        <v>8</v>
      </c>
      <c r="S73" s="41"/>
    </row>
    <row r="74" spans="1:19">
      <c r="A74" s="39"/>
      <c r="B74" s="9" t="s">
        <v>79</v>
      </c>
      <c r="C74" s="10" t="s">
        <v>80</v>
      </c>
      <c r="D74" s="39"/>
      <c r="E74" s="39"/>
      <c r="F74" s="11">
        <v>2</v>
      </c>
      <c r="G74" s="41"/>
      <c r="H74" s="11">
        <v>3</v>
      </c>
      <c r="I74" s="41"/>
      <c r="J74" s="11">
        <v>2</v>
      </c>
      <c r="K74" s="41"/>
      <c r="L74" s="11">
        <v>2</v>
      </c>
      <c r="M74" s="41"/>
      <c r="N74" s="11">
        <v>1</v>
      </c>
      <c r="O74" s="41"/>
      <c r="P74" s="53">
        <v>7</v>
      </c>
      <c r="Q74" s="41"/>
      <c r="R74" s="57">
        <v>7</v>
      </c>
      <c r="S74" s="41"/>
    </row>
    <row r="75" spans="1:19">
      <c r="A75" s="39"/>
      <c r="B75" s="9" t="s">
        <v>81</v>
      </c>
      <c r="C75" s="10" t="s">
        <v>82</v>
      </c>
      <c r="D75" s="39"/>
      <c r="E75" s="39"/>
      <c r="F75" s="11">
        <v>1</v>
      </c>
      <c r="G75" s="41"/>
      <c r="H75" s="11">
        <v>1</v>
      </c>
      <c r="I75" s="41"/>
      <c r="J75" s="11">
        <v>1</v>
      </c>
      <c r="K75" s="41"/>
      <c r="L75" s="11">
        <v>1</v>
      </c>
      <c r="M75" s="41"/>
      <c r="N75" s="11">
        <v>1</v>
      </c>
      <c r="O75" s="41"/>
      <c r="P75" s="53">
        <v>10</v>
      </c>
      <c r="Q75" s="41"/>
      <c r="R75" s="57">
        <v>10</v>
      </c>
      <c r="S75" s="41"/>
    </row>
    <row r="76" spans="1:19">
      <c r="A76" s="39"/>
      <c r="B76" s="9" t="s">
        <v>83</v>
      </c>
      <c r="C76" s="10" t="s">
        <v>84</v>
      </c>
      <c r="D76" s="39"/>
      <c r="E76" s="39"/>
      <c r="F76" s="11">
        <v>8</v>
      </c>
      <c r="G76" s="41"/>
      <c r="H76" s="11">
        <v>8</v>
      </c>
      <c r="I76" s="41"/>
      <c r="J76" s="11">
        <v>8</v>
      </c>
      <c r="K76" s="41"/>
      <c r="L76" s="11">
        <v>8</v>
      </c>
      <c r="M76" s="41"/>
      <c r="N76" s="11">
        <v>8</v>
      </c>
      <c r="O76" s="41"/>
      <c r="P76" s="53">
        <v>8</v>
      </c>
      <c r="Q76" s="41"/>
      <c r="R76" s="57">
        <v>8</v>
      </c>
      <c r="S76" s="41"/>
    </row>
    <row r="77" spans="1:19">
      <c r="A77" s="39"/>
      <c r="B77" s="9" t="s">
        <v>91</v>
      </c>
      <c r="C77" s="10" t="s">
        <v>86</v>
      </c>
      <c r="D77" s="39"/>
      <c r="E77" s="39"/>
      <c r="F77" s="11">
        <v>10</v>
      </c>
      <c r="G77" s="41"/>
      <c r="H77" s="11">
        <v>10</v>
      </c>
      <c r="I77" s="41"/>
      <c r="J77" s="11">
        <v>10</v>
      </c>
      <c r="K77" s="41"/>
      <c r="L77" s="11">
        <v>10</v>
      </c>
      <c r="M77" s="41"/>
      <c r="N77" s="11">
        <v>10</v>
      </c>
      <c r="O77" s="41"/>
      <c r="P77" s="53">
        <v>3</v>
      </c>
      <c r="Q77" s="41"/>
      <c r="R77" s="57">
        <v>3</v>
      </c>
      <c r="S77" s="41"/>
    </row>
    <row r="78" spans="1:19">
      <c r="A78" s="39"/>
      <c r="B78" s="9" t="s">
        <v>85</v>
      </c>
      <c r="C78" s="10" t="s">
        <v>88</v>
      </c>
      <c r="D78" s="39"/>
      <c r="E78" s="39"/>
      <c r="F78" s="11">
        <v>7</v>
      </c>
      <c r="G78" s="41"/>
      <c r="H78" s="11">
        <v>7</v>
      </c>
      <c r="I78" s="41"/>
      <c r="J78" s="11">
        <v>6</v>
      </c>
      <c r="K78" s="41"/>
      <c r="L78" s="11">
        <v>7</v>
      </c>
      <c r="M78" s="41"/>
      <c r="N78" s="11">
        <v>7</v>
      </c>
      <c r="O78" s="41"/>
      <c r="P78" s="53">
        <v>7</v>
      </c>
      <c r="Q78" s="41"/>
      <c r="R78" s="57">
        <v>7</v>
      </c>
      <c r="S78" s="41"/>
    </row>
    <row r="79" spans="1:19">
      <c r="A79" s="39"/>
      <c r="B79" s="9" t="s">
        <v>87</v>
      </c>
      <c r="C79" s="10" t="s">
        <v>120</v>
      </c>
      <c r="D79" s="39"/>
      <c r="E79" s="39"/>
      <c r="F79" s="11">
        <v>10</v>
      </c>
      <c r="G79" s="41"/>
      <c r="H79" s="11">
        <v>2</v>
      </c>
      <c r="I79" s="41"/>
      <c r="J79" s="11">
        <v>10</v>
      </c>
      <c r="K79" s="41"/>
      <c r="L79" s="11">
        <v>10</v>
      </c>
      <c r="M79" s="41"/>
      <c r="N79" s="11">
        <v>10</v>
      </c>
      <c r="O79" s="41"/>
      <c r="P79" s="53">
        <v>10</v>
      </c>
      <c r="Q79" s="41"/>
      <c r="R79" s="57">
        <v>10</v>
      </c>
      <c r="S79" s="41"/>
    </row>
    <row r="80" spans="1:19">
      <c r="A80" s="39"/>
      <c r="B80" s="9" t="s">
        <v>89</v>
      </c>
      <c r="C80" s="10" t="s">
        <v>90</v>
      </c>
      <c r="D80" s="39"/>
      <c r="E80" s="39"/>
      <c r="F80" s="11">
        <v>9</v>
      </c>
      <c r="G80" s="41"/>
      <c r="H80" s="11">
        <v>5</v>
      </c>
      <c r="I80" s="41"/>
      <c r="J80" s="11">
        <v>8</v>
      </c>
      <c r="K80" s="41"/>
      <c r="L80" s="11">
        <v>10</v>
      </c>
      <c r="M80" s="41"/>
      <c r="N80" s="11">
        <v>9</v>
      </c>
      <c r="O80" s="41"/>
      <c r="P80" s="53">
        <v>9</v>
      </c>
      <c r="Q80" s="41"/>
      <c r="R80" s="57">
        <v>9</v>
      </c>
      <c r="S80" s="41"/>
    </row>
    <row r="81" spans="1:19">
      <c r="A81" s="39"/>
      <c r="B81" s="9" t="s">
        <v>92</v>
      </c>
      <c r="C81" s="10" t="s">
        <v>122</v>
      </c>
      <c r="D81" s="39"/>
      <c r="E81" s="39"/>
      <c r="F81" s="11">
        <v>10</v>
      </c>
      <c r="G81" s="41"/>
      <c r="H81" s="11">
        <v>6</v>
      </c>
      <c r="I81" s="41"/>
      <c r="J81" s="11">
        <v>9</v>
      </c>
      <c r="K81" s="41"/>
      <c r="L81" s="11">
        <v>10</v>
      </c>
      <c r="M81" s="41"/>
      <c r="N81" s="11">
        <v>9</v>
      </c>
      <c r="O81" s="41"/>
      <c r="P81" s="53">
        <v>4</v>
      </c>
      <c r="Q81" s="41"/>
      <c r="R81" s="57">
        <v>4</v>
      </c>
      <c r="S81" s="41"/>
    </row>
    <row r="82" spans="1:19">
      <c r="A82" s="35" t="s">
        <v>74</v>
      </c>
      <c r="B82" s="2" t="s">
        <v>75</v>
      </c>
      <c r="C82" s="3" t="s">
        <v>76</v>
      </c>
      <c r="D82" s="35" t="s">
        <v>14</v>
      </c>
      <c r="E82" s="35" t="s">
        <v>16</v>
      </c>
      <c r="F82" s="4">
        <v>9</v>
      </c>
      <c r="G82" s="32">
        <v>7.5</v>
      </c>
      <c r="H82" s="4">
        <v>8</v>
      </c>
      <c r="I82" s="32">
        <v>7.1</v>
      </c>
      <c r="J82" s="4">
        <v>7</v>
      </c>
      <c r="K82" s="32">
        <v>7.7</v>
      </c>
      <c r="L82" s="4">
        <v>7</v>
      </c>
      <c r="M82" s="32">
        <v>7.7</v>
      </c>
      <c r="N82" s="4">
        <v>8</v>
      </c>
      <c r="O82" s="32">
        <v>7.8</v>
      </c>
      <c r="P82" s="51">
        <v>4</v>
      </c>
      <c r="Q82" s="32">
        <f t="shared" ref="Q82" si="16">SUM(P82:P91)/10</f>
        <v>2.5</v>
      </c>
      <c r="R82" s="55">
        <v>4</v>
      </c>
      <c r="S82" s="32">
        <f t="shared" ref="S82" si="17">SUM(R82:R91)/10</f>
        <v>2.5</v>
      </c>
    </row>
    <row r="83" spans="1:19">
      <c r="A83" s="36"/>
      <c r="B83" s="2" t="s">
        <v>77</v>
      </c>
      <c r="C83" s="3" t="s">
        <v>78</v>
      </c>
      <c r="D83" s="36"/>
      <c r="E83" s="36"/>
      <c r="F83" s="4">
        <v>7</v>
      </c>
      <c r="G83" s="33"/>
      <c r="H83" s="4">
        <v>7</v>
      </c>
      <c r="I83" s="33"/>
      <c r="J83" s="4">
        <v>8</v>
      </c>
      <c r="K83" s="33"/>
      <c r="L83" s="4">
        <v>8</v>
      </c>
      <c r="M83" s="33"/>
      <c r="N83" s="4">
        <v>8</v>
      </c>
      <c r="O83" s="33"/>
      <c r="P83" s="51">
        <v>1</v>
      </c>
      <c r="Q83" s="33"/>
      <c r="R83" s="55">
        <v>1</v>
      </c>
      <c r="S83" s="33"/>
    </row>
    <row r="84" spans="1:19">
      <c r="A84" s="36"/>
      <c r="B84" s="2" t="s">
        <v>79</v>
      </c>
      <c r="C84" s="3" t="s">
        <v>80</v>
      </c>
      <c r="D84" s="36"/>
      <c r="E84" s="36"/>
      <c r="F84" s="4">
        <v>2</v>
      </c>
      <c r="G84" s="33"/>
      <c r="H84" s="4">
        <v>2</v>
      </c>
      <c r="I84" s="33"/>
      <c r="J84" s="4">
        <v>2</v>
      </c>
      <c r="K84" s="33"/>
      <c r="L84" s="4">
        <v>2</v>
      </c>
      <c r="M84" s="33"/>
      <c r="N84" s="4">
        <v>2</v>
      </c>
      <c r="O84" s="33"/>
      <c r="P84" s="51">
        <v>2</v>
      </c>
      <c r="Q84" s="33"/>
      <c r="R84" s="55">
        <v>2</v>
      </c>
      <c r="S84" s="33"/>
    </row>
    <row r="85" spans="1:19">
      <c r="A85" s="36"/>
      <c r="B85" s="2" t="s">
        <v>81</v>
      </c>
      <c r="C85" s="3" t="s">
        <v>82</v>
      </c>
      <c r="D85" s="36"/>
      <c r="E85" s="36"/>
      <c r="F85" s="4">
        <v>1</v>
      </c>
      <c r="G85" s="33"/>
      <c r="H85" s="4">
        <v>2</v>
      </c>
      <c r="I85" s="33"/>
      <c r="J85" s="4">
        <v>1</v>
      </c>
      <c r="K85" s="33"/>
      <c r="L85" s="4">
        <v>1</v>
      </c>
      <c r="M85" s="33"/>
      <c r="N85" s="4">
        <v>1</v>
      </c>
      <c r="O85" s="33"/>
      <c r="P85" s="51">
        <v>1</v>
      </c>
      <c r="Q85" s="33"/>
      <c r="R85" s="55">
        <v>1</v>
      </c>
      <c r="S85" s="33"/>
    </row>
    <row r="86" spans="1:19">
      <c r="A86" s="36"/>
      <c r="B86" s="2" t="s">
        <v>83</v>
      </c>
      <c r="C86" s="3" t="s">
        <v>84</v>
      </c>
      <c r="D86" s="36"/>
      <c r="E86" s="36"/>
      <c r="F86" s="4">
        <v>10</v>
      </c>
      <c r="G86" s="33"/>
      <c r="H86" s="4">
        <v>10</v>
      </c>
      <c r="I86" s="33"/>
      <c r="J86" s="4">
        <v>10</v>
      </c>
      <c r="K86" s="33"/>
      <c r="L86" s="4">
        <v>10</v>
      </c>
      <c r="M86" s="33"/>
      <c r="N86" s="4">
        <v>10</v>
      </c>
      <c r="O86" s="33"/>
      <c r="P86" s="51">
        <v>3</v>
      </c>
      <c r="Q86" s="33"/>
      <c r="R86" s="55">
        <v>3</v>
      </c>
      <c r="S86" s="33"/>
    </row>
    <row r="87" spans="1:19">
      <c r="A87" s="36"/>
      <c r="B87" s="2" t="s">
        <v>91</v>
      </c>
      <c r="C87" s="3" t="s">
        <v>86</v>
      </c>
      <c r="D87" s="36"/>
      <c r="E87" s="36"/>
      <c r="F87" s="4">
        <v>10</v>
      </c>
      <c r="G87" s="33"/>
      <c r="H87" s="4">
        <v>10</v>
      </c>
      <c r="I87" s="33"/>
      <c r="J87" s="4">
        <v>10</v>
      </c>
      <c r="K87" s="33"/>
      <c r="L87" s="4">
        <v>10</v>
      </c>
      <c r="M87" s="33"/>
      <c r="N87" s="4">
        <v>10</v>
      </c>
      <c r="O87" s="33"/>
      <c r="P87" s="51">
        <v>10</v>
      </c>
      <c r="Q87" s="33"/>
      <c r="R87" s="55">
        <v>10</v>
      </c>
      <c r="S87" s="33"/>
    </row>
    <row r="88" spans="1:19">
      <c r="A88" s="36"/>
      <c r="B88" s="2" t="s">
        <v>85</v>
      </c>
      <c r="C88" s="3" t="s">
        <v>88</v>
      </c>
      <c r="D88" s="36"/>
      <c r="E88" s="36"/>
      <c r="F88" s="4">
        <v>7</v>
      </c>
      <c r="G88" s="33"/>
      <c r="H88" s="4">
        <v>9</v>
      </c>
      <c r="I88" s="33"/>
      <c r="J88" s="4">
        <v>9</v>
      </c>
      <c r="K88" s="33"/>
      <c r="L88" s="4">
        <v>9</v>
      </c>
      <c r="M88" s="33"/>
      <c r="N88" s="4">
        <v>9</v>
      </c>
      <c r="O88" s="33"/>
      <c r="P88" s="51">
        <v>1</v>
      </c>
      <c r="Q88" s="33"/>
      <c r="R88" s="55">
        <v>1</v>
      </c>
      <c r="S88" s="33"/>
    </row>
    <row r="89" spans="1:19">
      <c r="A89" s="36"/>
      <c r="B89" s="2" t="s">
        <v>87</v>
      </c>
      <c r="C89" s="3" t="s">
        <v>120</v>
      </c>
      <c r="D89" s="36"/>
      <c r="E89" s="36"/>
      <c r="F89" s="4">
        <v>10</v>
      </c>
      <c r="G89" s="33"/>
      <c r="H89" s="4">
        <v>7</v>
      </c>
      <c r="I89" s="33"/>
      <c r="J89" s="4">
        <v>10</v>
      </c>
      <c r="K89" s="33"/>
      <c r="L89" s="4">
        <v>10</v>
      </c>
      <c r="M89" s="33"/>
      <c r="N89" s="4">
        <v>10</v>
      </c>
      <c r="O89" s="33"/>
      <c r="P89" s="51">
        <v>1</v>
      </c>
      <c r="Q89" s="33"/>
      <c r="R89" s="55">
        <v>1</v>
      </c>
      <c r="S89" s="33"/>
    </row>
    <row r="90" spans="1:19">
      <c r="A90" s="36"/>
      <c r="B90" s="2" t="s">
        <v>89</v>
      </c>
      <c r="C90" s="3" t="s">
        <v>90</v>
      </c>
      <c r="D90" s="36"/>
      <c r="E90" s="36"/>
      <c r="F90" s="4">
        <v>9</v>
      </c>
      <c r="G90" s="33"/>
      <c r="H90" s="4">
        <v>6</v>
      </c>
      <c r="I90" s="33"/>
      <c r="J90" s="4">
        <v>10</v>
      </c>
      <c r="K90" s="33"/>
      <c r="L90" s="4">
        <v>10</v>
      </c>
      <c r="M90" s="33"/>
      <c r="N90" s="4">
        <v>10</v>
      </c>
      <c r="O90" s="33"/>
      <c r="P90" s="51">
        <v>1</v>
      </c>
      <c r="Q90" s="33"/>
      <c r="R90" s="55">
        <v>1</v>
      </c>
      <c r="S90" s="33"/>
    </row>
    <row r="91" spans="1:19">
      <c r="A91" s="36"/>
      <c r="B91" s="2" t="s">
        <v>92</v>
      </c>
      <c r="C91" s="3" t="s">
        <v>122</v>
      </c>
      <c r="D91" s="36"/>
      <c r="E91" s="36"/>
      <c r="F91" s="4">
        <v>10</v>
      </c>
      <c r="G91" s="33"/>
      <c r="H91" s="4">
        <v>10</v>
      </c>
      <c r="I91" s="33"/>
      <c r="J91" s="4">
        <v>10</v>
      </c>
      <c r="K91" s="33"/>
      <c r="L91" s="4">
        <v>10</v>
      </c>
      <c r="M91" s="33"/>
      <c r="N91" s="4">
        <v>10</v>
      </c>
      <c r="O91" s="33"/>
      <c r="P91" s="51">
        <v>1</v>
      </c>
      <c r="Q91" s="33"/>
      <c r="R91" s="55">
        <v>1</v>
      </c>
      <c r="S91" s="33"/>
    </row>
    <row r="92" spans="1:19">
      <c r="A92" s="38" t="s">
        <v>74</v>
      </c>
      <c r="B92" s="9" t="s">
        <v>75</v>
      </c>
      <c r="C92" s="10" t="s">
        <v>76</v>
      </c>
      <c r="D92" s="38" t="s">
        <v>14</v>
      </c>
      <c r="E92" s="38" t="s">
        <v>17</v>
      </c>
      <c r="F92" s="11">
        <v>9</v>
      </c>
      <c r="G92" s="40">
        <v>7.6</v>
      </c>
      <c r="H92" s="11">
        <v>9</v>
      </c>
      <c r="I92" s="40">
        <v>7.8</v>
      </c>
      <c r="J92" s="11">
        <v>8</v>
      </c>
      <c r="K92" s="40">
        <v>7.9</v>
      </c>
      <c r="L92" s="11">
        <v>9</v>
      </c>
      <c r="M92" s="40">
        <v>8</v>
      </c>
      <c r="N92" s="11">
        <v>9</v>
      </c>
      <c r="O92" s="40">
        <v>8</v>
      </c>
      <c r="P92" s="53">
        <v>4</v>
      </c>
      <c r="Q92" s="40">
        <f t="shared" ref="Q92" si="18">SUM(P92:P101)/10</f>
        <v>4.2</v>
      </c>
      <c r="R92" s="57">
        <v>4</v>
      </c>
      <c r="S92" s="40">
        <f t="shared" ref="S92" si="19">SUM(R92:R101)/10</f>
        <v>4.2</v>
      </c>
    </row>
    <row r="93" spans="1:19">
      <c r="A93" s="39"/>
      <c r="B93" s="9" t="s">
        <v>77</v>
      </c>
      <c r="C93" s="10" t="s">
        <v>78</v>
      </c>
      <c r="D93" s="39"/>
      <c r="E93" s="39"/>
      <c r="F93" s="11">
        <v>4</v>
      </c>
      <c r="G93" s="41"/>
      <c r="H93" s="11">
        <v>4</v>
      </c>
      <c r="I93" s="41"/>
      <c r="J93" s="11">
        <v>5</v>
      </c>
      <c r="K93" s="41"/>
      <c r="L93" s="11">
        <v>5</v>
      </c>
      <c r="M93" s="41"/>
      <c r="N93" s="11">
        <v>5</v>
      </c>
      <c r="O93" s="41"/>
      <c r="P93" s="53">
        <v>4</v>
      </c>
      <c r="Q93" s="41"/>
      <c r="R93" s="57">
        <v>4</v>
      </c>
      <c r="S93" s="41"/>
    </row>
    <row r="94" spans="1:19">
      <c r="A94" s="39"/>
      <c r="B94" s="9" t="s">
        <v>79</v>
      </c>
      <c r="C94" s="10" t="s">
        <v>80</v>
      </c>
      <c r="D94" s="39"/>
      <c r="E94" s="39"/>
      <c r="F94" s="11">
        <v>3</v>
      </c>
      <c r="G94" s="41"/>
      <c r="H94" s="11">
        <v>3</v>
      </c>
      <c r="I94" s="41"/>
      <c r="J94" s="11">
        <v>3</v>
      </c>
      <c r="K94" s="41"/>
      <c r="L94" s="11">
        <v>3</v>
      </c>
      <c r="M94" s="41"/>
      <c r="N94" s="11">
        <v>3</v>
      </c>
      <c r="O94" s="41"/>
      <c r="P94" s="53">
        <v>5</v>
      </c>
      <c r="Q94" s="41"/>
      <c r="R94" s="57">
        <v>5</v>
      </c>
      <c r="S94" s="41"/>
    </row>
    <row r="95" spans="1:19">
      <c r="A95" s="39"/>
      <c r="B95" s="9" t="s">
        <v>81</v>
      </c>
      <c r="C95" s="10" t="s">
        <v>82</v>
      </c>
      <c r="D95" s="39"/>
      <c r="E95" s="39"/>
      <c r="F95" s="11">
        <v>5</v>
      </c>
      <c r="G95" s="41"/>
      <c r="H95" s="11">
        <v>4</v>
      </c>
      <c r="I95" s="41"/>
      <c r="J95" s="11">
        <v>4</v>
      </c>
      <c r="K95" s="41"/>
      <c r="L95" s="11">
        <v>4</v>
      </c>
      <c r="M95" s="41"/>
      <c r="N95" s="11">
        <v>4</v>
      </c>
      <c r="O95" s="41"/>
      <c r="P95" s="53">
        <v>4</v>
      </c>
      <c r="Q95" s="41"/>
      <c r="R95" s="57">
        <v>4</v>
      </c>
      <c r="S95" s="41"/>
    </row>
    <row r="96" spans="1:19">
      <c r="A96" s="39"/>
      <c r="B96" s="9" t="s">
        <v>83</v>
      </c>
      <c r="C96" s="10" t="s">
        <v>84</v>
      </c>
      <c r="D96" s="39"/>
      <c r="E96" s="39"/>
      <c r="F96" s="11">
        <v>9</v>
      </c>
      <c r="G96" s="41"/>
      <c r="H96" s="11">
        <v>10</v>
      </c>
      <c r="I96" s="41"/>
      <c r="J96" s="11">
        <v>10</v>
      </c>
      <c r="K96" s="41"/>
      <c r="L96" s="11">
        <v>10</v>
      </c>
      <c r="M96" s="41"/>
      <c r="N96" s="11">
        <v>10</v>
      </c>
      <c r="O96" s="41"/>
      <c r="P96" s="53">
        <v>1</v>
      </c>
      <c r="Q96" s="41"/>
      <c r="R96" s="57">
        <v>1</v>
      </c>
      <c r="S96" s="41"/>
    </row>
    <row r="97" spans="1:19">
      <c r="A97" s="39"/>
      <c r="B97" s="9" t="s">
        <v>91</v>
      </c>
      <c r="C97" s="10" t="s">
        <v>86</v>
      </c>
      <c r="D97" s="39"/>
      <c r="E97" s="39"/>
      <c r="F97" s="11">
        <v>8</v>
      </c>
      <c r="G97" s="41"/>
      <c r="H97" s="11">
        <v>8</v>
      </c>
      <c r="I97" s="41"/>
      <c r="J97" s="11">
        <v>9</v>
      </c>
      <c r="K97" s="41"/>
      <c r="L97" s="11">
        <v>9</v>
      </c>
      <c r="M97" s="41"/>
      <c r="N97" s="11">
        <v>9</v>
      </c>
      <c r="O97" s="41"/>
      <c r="P97" s="53">
        <v>4</v>
      </c>
      <c r="Q97" s="41"/>
      <c r="R97" s="57">
        <v>4</v>
      </c>
      <c r="S97" s="41"/>
    </row>
    <row r="98" spans="1:19">
      <c r="A98" s="39"/>
      <c r="B98" s="9" t="s">
        <v>85</v>
      </c>
      <c r="C98" s="10" t="s">
        <v>88</v>
      </c>
      <c r="D98" s="39"/>
      <c r="E98" s="39"/>
      <c r="F98" s="11">
        <v>9</v>
      </c>
      <c r="G98" s="41"/>
      <c r="H98" s="11">
        <v>10</v>
      </c>
      <c r="I98" s="41"/>
      <c r="J98" s="11">
        <v>10</v>
      </c>
      <c r="K98" s="41"/>
      <c r="L98" s="11">
        <v>10</v>
      </c>
      <c r="M98" s="41"/>
      <c r="N98" s="11">
        <v>10</v>
      </c>
      <c r="O98" s="41"/>
      <c r="P98" s="53">
        <v>5</v>
      </c>
      <c r="Q98" s="41"/>
      <c r="R98" s="57">
        <v>5</v>
      </c>
      <c r="S98" s="41"/>
    </row>
    <row r="99" spans="1:19">
      <c r="A99" s="39"/>
      <c r="B99" s="9" t="s">
        <v>87</v>
      </c>
      <c r="C99" s="10" t="s">
        <v>120</v>
      </c>
      <c r="D99" s="39"/>
      <c r="E99" s="39"/>
      <c r="F99" s="11">
        <v>10</v>
      </c>
      <c r="G99" s="41"/>
      <c r="H99" s="11">
        <v>10</v>
      </c>
      <c r="I99" s="41"/>
      <c r="J99" s="11">
        <v>10</v>
      </c>
      <c r="K99" s="41"/>
      <c r="L99" s="11">
        <v>10</v>
      </c>
      <c r="M99" s="41"/>
      <c r="N99" s="11">
        <v>10</v>
      </c>
      <c r="O99" s="41"/>
      <c r="P99" s="53">
        <v>5</v>
      </c>
      <c r="Q99" s="41"/>
      <c r="R99" s="57">
        <v>5</v>
      </c>
      <c r="S99" s="41"/>
    </row>
    <row r="100" spans="1:19">
      <c r="A100" s="39"/>
      <c r="B100" s="9" t="s">
        <v>89</v>
      </c>
      <c r="C100" s="10" t="s">
        <v>90</v>
      </c>
      <c r="D100" s="39"/>
      <c r="E100" s="39"/>
      <c r="F100" s="11">
        <v>10</v>
      </c>
      <c r="G100" s="41"/>
      <c r="H100" s="11">
        <v>10</v>
      </c>
      <c r="I100" s="41"/>
      <c r="J100" s="11">
        <v>10</v>
      </c>
      <c r="K100" s="41"/>
      <c r="L100" s="11">
        <v>10</v>
      </c>
      <c r="M100" s="41"/>
      <c r="N100" s="11">
        <v>10</v>
      </c>
      <c r="O100" s="41"/>
      <c r="P100" s="53">
        <v>5</v>
      </c>
      <c r="Q100" s="41"/>
      <c r="R100" s="57">
        <v>5</v>
      </c>
      <c r="S100" s="41"/>
    </row>
    <row r="101" spans="1:19">
      <c r="A101" s="39"/>
      <c r="B101" s="9" t="s">
        <v>92</v>
      </c>
      <c r="C101" s="10" t="s">
        <v>122</v>
      </c>
      <c r="D101" s="39"/>
      <c r="E101" s="39"/>
      <c r="F101" s="11">
        <v>9</v>
      </c>
      <c r="G101" s="41"/>
      <c r="H101" s="11">
        <v>10</v>
      </c>
      <c r="I101" s="41"/>
      <c r="J101" s="11">
        <v>10</v>
      </c>
      <c r="K101" s="41"/>
      <c r="L101" s="11">
        <v>10</v>
      </c>
      <c r="M101" s="41"/>
      <c r="N101" s="11">
        <v>10</v>
      </c>
      <c r="O101" s="41"/>
      <c r="P101" s="53">
        <v>5</v>
      </c>
      <c r="Q101" s="41"/>
      <c r="R101" s="57">
        <v>5</v>
      </c>
      <c r="S101" s="41"/>
    </row>
    <row r="102" spans="1:19">
      <c r="A102" s="35" t="s">
        <v>74</v>
      </c>
      <c r="B102" s="2" t="s">
        <v>75</v>
      </c>
      <c r="C102" s="3" t="s">
        <v>76</v>
      </c>
      <c r="D102" s="35" t="s">
        <v>14</v>
      </c>
      <c r="E102" s="35" t="s">
        <v>18</v>
      </c>
      <c r="F102" s="4">
        <v>8</v>
      </c>
      <c r="G102" s="32">
        <v>8.4</v>
      </c>
      <c r="H102" s="4">
        <v>8</v>
      </c>
      <c r="I102" s="32">
        <v>8.3000000000000007</v>
      </c>
      <c r="J102" s="4">
        <v>7</v>
      </c>
      <c r="K102" s="32">
        <v>8.1999999999999993</v>
      </c>
      <c r="L102" s="4">
        <v>8</v>
      </c>
      <c r="M102" s="32">
        <v>8.1</v>
      </c>
      <c r="N102" s="4">
        <v>8</v>
      </c>
      <c r="O102" s="32">
        <v>8.4</v>
      </c>
      <c r="P102" s="51">
        <v>8</v>
      </c>
      <c r="Q102" s="32">
        <f t="shared" ref="Q102" si="20">SUM(P102:P111)/10</f>
        <v>6.6</v>
      </c>
      <c r="R102" s="55">
        <v>8</v>
      </c>
      <c r="S102" s="32">
        <f t="shared" ref="S102" si="21">SUM(R102:R111)/10</f>
        <v>6.6</v>
      </c>
    </row>
    <row r="103" spans="1:19">
      <c r="A103" s="36"/>
      <c r="B103" s="2" t="s">
        <v>77</v>
      </c>
      <c r="C103" s="3" t="s">
        <v>78</v>
      </c>
      <c r="D103" s="36"/>
      <c r="E103" s="36"/>
      <c r="F103" s="4">
        <v>9</v>
      </c>
      <c r="G103" s="33"/>
      <c r="H103" s="4">
        <v>8</v>
      </c>
      <c r="I103" s="33"/>
      <c r="J103" s="4">
        <v>8</v>
      </c>
      <c r="K103" s="33"/>
      <c r="L103" s="4">
        <v>8</v>
      </c>
      <c r="M103" s="33"/>
      <c r="N103" s="4">
        <v>9</v>
      </c>
      <c r="O103" s="33"/>
      <c r="P103" s="51">
        <v>5</v>
      </c>
      <c r="Q103" s="33"/>
      <c r="R103" s="55">
        <v>5</v>
      </c>
      <c r="S103" s="33"/>
    </row>
    <row r="104" spans="1:19">
      <c r="A104" s="36"/>
      <c r="B104" s="2" t="s">
        <v>79</v>
      </c>
      <c r="C104" s="3" t="s">
        <v>80</v>
      </c>
      <c r="D104" s="36"/>
      <c r="E104" s="36"/>
      <c r="F104" s="4">
        <v>3</v>
      </c>
      <c r="G104" s="33"/>
      <c r="H104" s="4">
        <v>3</v>
      </c>
      <c r="I104" s="33"/>
      <c r="J104" s="4">
        <v>3</v>
      </c>
      <c r="K104" s="33"/>
      <c r="L104" s="4">
        <v>3</v>
      </c>
      <c r="M104" s="33"/>
      <c r="N104" s="4">
        <v>3</v>
      </c>
      <c r="O104" s="33"/>
      <c r="P104" s="51">
        <v>4</v>
      </c>
      <c r="Q104" s="33"/>
      <c r="R104" s="55">
        <v>4</v>
      </c>
      <c r="S104" s="33"/>
    </row>
    <row r="105" spans="1:19">
      <c r="A105" s="36"/>
      <c r="B105" s="2" t="s">
        <v>81</v>
      </c>
      <c r="C105" s="3" t="s">
        <v>82</v>
      </c>
      <c r="D105" s="36"/>
      <c r="E105" s="36"/>
      <c r="F105" s="4">
        <v>4</v>
      </c>
      <c r="G105" s="33"/>
      <c r="H105" s="4">
        <v>4</v>
      </c>
      <c r="I105" s="33"/>
      <c r="J105" s="4">
        <v>4</v>
      </c>
      <c r="K105" s="33"/>
      <c r="L105" s="4">
        <v>4</v>
      </c>
      <c r="M105" s="33"/>
      <c r="N105" s="4">
        <v>4</v>
      </c>
      <c r="O105" s="33"/>
      <c r="P105" s="51">
        <v>6</v>
      </c>
      <c r="Q105" s="33"/>
      <c r="R105" s="55">
        <v>6</v>
      </c>
      <c r="S105" s="33"/>
    </row>
    <row r="106" spans="1:19">
      <c r="A106" s="36"/>
      <c r="B106" s="2" t="s">
        <v>83</v>
      </c>
      <c r="C106" s="3" t="s">
        <v>84</v>
      </c>
      <c r="D106" s="36"/>
      <c r="E106" s="36"/>
      <c r="F106" s="4">
        <v>10</v>
      </c>
      <c r="G106" s="33"/>
      <c r="H106" s="4">
        <v>10</v>
      </c>
      <c r="I106" s="33"/>
      <c r="J106" s="4">
        <v>10</v>
      </c>
      <c r="K106" s="33"/>
      <c r="L106" s="4">
        <v>10</v>
      </c>
      <c r="M106" s="33"/>
      <c r="N106" s="4">
        <v>10</v>
      </c>
      <c r="O106" s="33"/>
      <c r="P106" s="51">
        <v>10</v>
      </c>
      <c r="Q106" s="33"/>
      <c r="R106" s="55">
        <v>10</v>
      </c>
      <c r="S106" s="33"/>
    </row>
    <row r="107" spans="1:19">
      <c r="A107" s="36"/>
      <c r="B107" s="2" t="s">
        <v>91</v>
      </c>
      <c r="C107" s="3" t="s">
        <v>86</v>
      </c>
      <c r="D107" s="36"/>
      <c r="E107" s="36"/>
      <c r="F107" s="4">
        <v>10</v>
      </c>
      <c r="G107" s="33"/>
      <c r="H107" s="4">
        <v>10</v>
      </c>
      <c r="I107" s="33"/>
      <c r="J107" s="4">
        <v>10</v>
      </c>
      <c r="K107" s="33"/>
      <c r="L107" s="4">
        <v>10</v>
      </c>
      <c r="M107" s="33"/>
      <c r="N107" s="4">
        <v>10</v>
      </c>
      <c r="O107" s="33"/>
      <c r="P107" s="51">
        <v>9</v>
      </c>
      <c r="Q107" s="33"/>
      <c r="R107" s="55">
        <v>9</v>
      </c>
      <c r="S107" s="33"/>
    </row>
    <row r="108" spans="1:19">
      <c r="A108" s="36"/>
      <c r="B108" s="2" t="s">
        <v>85</v>
      </c>
      <c r="C108" s="3" t="s">
        <v>88</v>
      </c>
      <c r="D108" s="36"/>
      <c r="E108" s="36"/>
      <c r="F108" s="4">
        <v>10</v>
      </c>
      <c r="G108" s="33"/>
      <c r="H108" s="4">
        <v>10</v>
      </c>
      <c r="I108" s="33"/>
      <c r="J108" s="4">
        <v>10</v>
      </c>
      <c r="K108" s="33"/>
      <c r="L108" s="4">
        <v>10</v>
      </c>
      <c r="M108" s="33"/>
      <c r="N108" s="4">
        <v>10</v>
      </c>
      <c r="O108" s="33"/>
      <c r="P108" s="51">
        <v>3</v>
      </c>
      <c r="Q108" s="33"/>
      <c r="R108" s="55">
        <v>3</v>
      </c>
      <c r="S108" s="33"/>
    </row>
    <row r="109" spans="1:19">
      <c r="A109" s="36"/>
      <c r="B109" s="2" t="s">
        <v>87</v>
      </c>
      <c r="C109" s="3" t="s">
        <v>120</v>
      </c>
      <c r="D109" s="36"/>
      <c r="E109" s="36"/>
      <c r="F109" s="4">
        <v>10</v>
      </c>
      <c r="G109" s="33"/>
      <c r="H109" s="4">
        <v>10</v>
      </c>
      <c r="I109" s="33"/>
      <c r="J109" s="4">
        <v>10</v>
      </c>
      <c r="K109" s="33"/>
      <c r="L109" s="4">
        <v>8</v>
      </c>
      <c r="M109" s="33"/>
      <c r="N109" s="4">
        <v>10</v>
      </c>
      <c r="O109" s="33"/>
      <c r="P109" s="51">
        <v>3</v>
      </c>
      <c r="Q109" s="33"/>
      <c r="R109" s="55">
        <v>3</v>
      </c>
      <c r="S109" s="33"/>
    </row>
    <row r="110" spans="1:19">
      <c r="A110" s="36"/>
      <c r="B110" s="2" t="s">
        <v>89</v>
      </c>
      <c r="C110" s="3" t="s">
        <v>90</v>
      </c>
      <c r="D110" s="36"/>
      <c r="E110" s="36"/>
      <c r="F110" s="4">
        <v>10</v>
      </c>
      <c r="G110" s="33"/>
      <c r="H110" s="4">
        <v>10</v>
      </c>
      <c r="I110" s="33"/>
      <c r="J110" s="4">
        <v>10</v>
      </c>
      <c r="K110" s="33"/>
      <c r="L110" s="4">
        <v>10</v>
      </c>
      <c r="M110" s="33"/>
      <c r="N110" s="4">
        <v>10</v>
      </c>
      <c r="O110" s="33"/>
      <c r="P110" s="51">
        <v>8</v>
      </c>
      <c r="Q110" s="33"/>
      <c r="R110" s="55">
        <v>8</v>
      </c>
      <c r="S110" s="33"/>
    </row>
    <row r="111" spans="1:19">
      <c r="A111" s="36"/>
      <c r="B111" s="2" t="s">
        <v>92</v>
      </c>
      <c r="C111" s="3" t="s">
        <v>122</v>
      </c>
      <c r="D111" s="36"/>
      <c r="E111" s="36"/>
      <c r="F111" s="4">
        <v>10</v>
      </c>
      <c r="G111" s="33"/>
      <c r="H111" s="4">
        <v>10</v>
      </c>
      <c r="I111" s="33"/>
      <c r="J111" s="4">
        <v>10</v>
      </c>
      <c r="K111" s="33"/>
      <c r="L111" s="4">
        <v>10</v>
      </c>
      <c r="M111" s="33"/>
      <c r="N111" s="4">
        <v>10</v>
      </c>
      <c r="O111" s="33"/>
      <c r="P111" s="51">
        <v>10</v>
      </c>
      <c r="Q111" s="33"/>
      <c r="R111" s="55">
        <v>10</v>
      </c>
      <c r="S111" s="33"/>
    </row>
    <row r="112" spans="1:19">
      <c r="A112" s="38" t="s">
        <v>74</v>
      </c>
      <c r="B112" s="9" t="s">
        <v>75</v>
      </c>
      <c r="C112" s="10" t="s">
        <v>76</v>
      </c>
      <c r="D112" s="38" t="s">
        <v>14</v>
      </c>
      <c r="E112" s="38" t="s">
        <v>19</v>
      </c>
      <c r="F112" s="11">
        <v>9</v>
      </c>
      <c r="G112" s="40">
        <v>8.6</v>
      </c>
      <c r="H112" s="11">
        <v>8</v>
      </c>
      <c r="I112" s="40">
        <v>8.4</v>
      </c>
      <c r="J112" s="11">
        <v>8</v>
      </c>
      <c r="K112" s="40">
        <v>8.5</v>
      </c>
      <c r="L112" s="11">
        <v>8</v>
      </c>
      <c r="M112" s="40">
        <v>8.5</v>
      </c>
      <c r="N112" s="11">
        <v>9</v>
      </c>
      <c r="O112" s="40">
        <v>8.6999999999999993</v>
      </c>
      <c r="P112" s="53">
        <v>8</v>
      </c>
      <c r="Q112" s="40">
        <f t="shared" ref="Q112" si="22">SUM(P112:P121)/10</f>
        <v>6.3</v>
      </c>
      <c r="R112" s="57">
        <v>8</v>
      </c>
      <c r="S112" s="40">
        <f t="shared" ref="S112" si="23">SUM(R112:R121)/10</f>
        <v>6.3</v>
      </c>
    </row>
    <row r="113" spans="1:19">
      <c r="A113" s="39"/>
      <c r="B113" s="9" t="s">
        <v>77</v>
      </c>
      <c r="C113" s="10" t="s">
        <v>78</v>
      </c>
      <c r="D113" s="39"/>
      <c r="E113" s="39"/>
      <c r="F113" s="11">
        <v>7</v>
      </c>
      <c r="G113" s="41"/>
      <c r="H113" s="11">
        <v>7</v>
      </c>
      <c r="I113" s="41"/>
      <c r="J113" s="11">
        <v>8</v>
      </c>
      <c r="K113" s="41"/>
      <c r="L113" s="11">
        <v>7</v>
      </c>
      <c r="M113" s="41"/>
      <c r="N113" s="11">
        <v>8</v>
      </c>
      <c r="O113" s="41"/>
      <c r="P113" s="53">
        <v>2</v>
      </c>
      <c r="Q113" s="41"/>
      <c r="R113" s="57">
        <v>2</v>
      </c>
      <c r="S113" s="41"/>
    </row>
    <row r="114" spans="1:19">
      <c r="A114" s="39"/>
      <c r="B114" s="9" t="s">
        <v>79</v>
      </c>
      <c r="C114" s="10" t="s">
        <v>80</v>
      </c>
      <c r="D114" s="39"/>
      <c r="E114" s="39"/>
      <c r="F114" s="11">
        <v>4</v>
      </c>
      <c r="G114" s="41"/>
      <c r="H114" s="11">
        <v>4</v>
      </c>
      <c r="I114" s="41"/>
      <c r="J114" s="11">
        <v>4</v>
      </c>
      <c r="K114" s="41"/>
      <c r="L114" s="11">
        <v>5</v>
      </c>
      <c r="M114" s="41"/>
      <c r="N114" s="11">
        <v>5</v>
      </c>
      <c r="O114" s="41"/>
      <c r="P114" s="53">
        <v>7</v>
      </c>
      <c r="Q114" s="41"/>
      <c r="R114" s="57">
        <v>7</v>
      </c>
      <c r="S114" s="41"/>
    </row>
    <row r="115" spans="1:19">
      <c r="A115" s="39"/>
      <c r="B115" s="9" t="s">
        <v>81</v>
      </c>
      <c r="C115" s="10" t="s">
        <v>82</v>
      </c>
      <c r="D115" s="39"/>
      <c r="E115" s="39"/>
      <c r="F115" s="11">
        <v>6</v>
      </c>
      <c r="G115" s="41"/>
      <c r="H115" s="11">
        <v>5</v>
      </c>
      <c r="I115" s="41"/>
      <c r="J115" s="11">
        <v>5</v>
      </c>
      <c r="K115" s="41"/>
      <c r="L115" s="11">
        <v>5</v>
      </c>
      <c r="M115" s="41"/>
      <c r="N115" s="11">
        <v>5</v>
      </c>
      <c r="O115" s="41"/>
      <c r="P115" s="53">
        <v>10</v>
      </c>
      <c r="Q115" s="41"/>
      <c r="R115" s="57">
        <v>10</v>
      </c>
      <c r="S115" s="41"/>
    </row>
    <row r="116" spans="1:19">
      <c r="A116" s="39"/>
      <c r="B116" s="9" t="s">
        <v>83</v>
      </c>
      <c r="C116" s="10" t="s">
        <v>84</v>
      </c>
      <c r="D116" s="39"/>
      <c r="E116" s="39"/>
      <c r="F116" s="11">
        <v>10</v>
      </c>
      <c r="G116" s="41"/>
      <c r="H116" s="11">
        <v>10</v>
      </c>
      <c r="I116" s="41"/>
      <c r="J116" s="11">
        <v>10</v>
      </c>
      <c r="K116" s="41"/>
      <c r="L116" s="11">
        <v>10</v>
      </c>
      <c r="M116" s="41"/>
      <c r="N116" s="11">
        <v>10</v>
      </c>
      <c r="O116" s="41"/>
      <c r="P116" s="53">
        <v>3</v>
      </c>
      <c r="Q116" s="41"/>
      <c r="R116" s="57">
        <v>3</v>
      </c>
      <c r="S116" s="41"/>
    </row>
    <row r="117" spans="1:19">
      <c r="A117" s="39"/>
      <c r="B117" s="9" t="s">
        <v>91</v>
      </c>
      <c r="C117" s="10" t="s">
        <v>86</v>
      </c>
      <c r="D117" s="39"/>
      <c r="E117" s="39"/>
      <c r="F117" s="11">
        <v>10</v>
      </c>
      <c r="G117" s="41"/>
      <c r="H117" s="11">
        <v>10</v>
      </c>
      <c r="I117" s="41"/>
      <c r="J117" s="11">
        <v>10</v>
      </c>
      <c r="K117" s="41"/>
      <c r="L117" s="11">
        <v>10</v>
      </c>
      <c r="M117" s="41"/>
      <c r="N117" s="11">
        <v>10</v>
      </c>
      <c r="O117" s="41"/>
      <c r="P117" s="53">
        <v>10</v>
      </c>
      <c r="Q117" s="41"/>
      <c r="R117" s="57">
        <v>10</v>
      </c>
      <c r="S117" s="41"/>
    </row>
    <row r="118" spans="1:19">
      <c r="A118" s="39"/>
      <c r="B118" s="9" t="s">
        <v>85</v>
      </c>
      <c r="C118" s="10" t="s">
        <v>88</v>
      </c>
      <c r="D118" s="39"/>
      <c r="E118" s="39"/>
      <c r="F118" s="11">
        <v>10</v>
      </c>
      <c r="G118" s="41"/>
      <c r="H118" s="11">
        <v>10</v>
      </c>
      <c r="I118" s="41"/>
      <c r="J118" s="11">
        <v>10</v>
      </c>
      <c r="K118" s="41"/>
      <c r="L118" s="11">
        <v>10</v>
      </c>
      <c r="M118" s="41"/>
      <c r="N118" s="11">
        <v>10</v>
      </c>
      <c r="O118" s="41"/>
      <c r="P118" s="53">
        <v>3</v>
      </c>
      <c r="Q118" s="41"/>
      <c r="R118" s="57">
        <v>3</v>
      </c>
      <c r="S118" s="41"/>
    </row>
    <row r="119" spans="1:19">
      <c r="A119" s="39"/>
      <c r="B119" s="9" t="s">
        <v>87</v>
      </c>
      <c r="C119" s="10" t="s">
        <v>120</v>
      </c>
      <c r="D119" s="39"/>
      <c r="E119" s="39"/>
      <c r="F119" s="11">
        <v>10</v>
      </c>
      <c r="G119" s="41"/>
      <c r="H119" s="11">
        <v>10</v>
      </c>
      <c r="I119" s="41"/>
      <c r="J119" s="11">
        <v>10</v>
      </c>
      <c r="K119" s="41"/>
      <c r="L119" s="11">
        <v>10</v>
      </c>
      <c r="M119" s="41"/>
      <c r="N119" s="11">
        <v>10</v>
      </c>
      <c r="O119" s="41"/>
      <c r="P119" s="53">
        <v>9</v>
      </c>
      <c r="Q119" s="41"/>
      <c r="R119" s="57">
        <v>9</v>
      </c>
      <c r="S119" s="41"/>
    </row>
    <row r="120" spans="1:19">
      <c r="A120" s="39"/>
      <c r="B120" s="9" t="s">
        <v>89</v>
      </c>
      <c r="C120" s="10" t="s">
        <v>90</v>
      </c>
      <c r="D120" s="39"/>
      <c r="E120" s="39"/>
      <c r="F120" s="11">
        <v>10</v>
      </c>
      <c r="G120" s="41"/>
      <c r="H120" s="11">
        <v>10</v>
      </c>
      <c r="I120" s="41"/>
      <c r="J120" s="11">
        <v>10</v>
      </c>
      <c r="K120" s="41"/>
      <c r="L120" s="11">
        <v>10</v>
      </c>
      <c r="M120" s="41"/>
      <c r="N120" s="11">
        <v>10</v>
      </c>
      <c r="O120" s="41"/>
      <c r="P120" s="53">
        <v>1</v>
      </c>
      <c r="Q120" s="41"/>
      <c r="R120" s="57">
        <v>1</v>
      </c>
      <c r="S120" s="41"/>
    </row>
    <row r="121" spans="1:19">
      <c r="A121" s="39"/>
      <c r="B121" s="9" t="s">
        <v>92</v>
      </c>
      <c r="C121" s="10" t="s">
        <v>122</v>
      </c>
      <c r="D121" s="39"/>
      <c r="E121" s="39"/>
      <c r="F121" s="11">
        <v>10</v>
      </c>
      <c r="G121" s="41"/>
      <c r="H121" s="11">
        <v>10</v>
      </c>
      <c r="I121" s="41"/>
      <c r="J121" s="11">
        <v>10</v>
      </c>
      <c r="K121" s="41"/>
      <c r="L121" s="11">
        <v>10</v>
      </c>
      <c r="M121" s="41"/>
      <c r="N121" s="11">
        <v>10</v>
      </c>
      <c r="O121" s="41"/>
      <c r="P121" s="53">
        <v>10</v>
      </c>
      <c r="Q121" s="41"/>
      <c r="R121" s="57">
        <v>10</v>
      </c>
      <c r="S121" s="41"/>
    </row>
    <row r="122" spans="1:19">
      <c r="A122" s="35" t="s">
        <v>74</v>
      </c>
      <c r="B122" s="2" t="s">
        <v>75</v>
      </c>
      <c r="C122" s="3" t="s">
        <v>76</v>
      </c>
      <c r="D122" s="35" t="s">
        <v>14</v>
      </c>
      <c r="E122" s="35" t="s">
        <v>20</v>
      </c>
      <c r="F122" s="4">
        <v>9</v>
      </c>
      <c r="G122" s="32">
        <v>8.3000000000000007</v>
      </c>
      <c r="H122" s="4">
        <v>9</v>
      </c>
      <c r="I122" s="32">
        <v>7.2</v>
      </c>
      <c r="J122" s="4">
        <v>8</v>
      </c>
      <c r="K122" s="32">
        <v>8.3000000000000007</v>
      </c>
      <c r="L122" s="4">
        <v>8</v>
      </c>
      <c r="M122" s="32">
        <v>8.3000000000000007</v>
      </c>
      <c r="N122" s="4">
        <v>9</v>
      </c>
      <c r="O122" s="32">
        <v>5.7</v>
      </c>
      <c r="P122" s="51">
        <v>8</v>
      </c>
      <c r="Q122" s="32">
        <f t="shared" ref="Q122" si="24">SUM(P122:P131)/10</f>
        <v>7.4</v>
      </c>
      <c r="R122" s="55">
        <v>8</v>
      </c>
      <c r="S122" s="32">
        <f t="shared" ref="S122" si="25">SUM(R122:R131)/10</f>
        <v>7.4</v>
      </c>
    </row>
    <row r="123" spans="1:19">
      <c r="A123" s="36"/>
      <c r="B123" s="2" t="s">
        <v>77</v>
      </c>
      <c r="C123" s="3" t="s">
        <v>78</v>
      </c>
      <c r="D123" s="36"/>
      <c r="E123" s="36"/>
      <c r="F123" s="4">
        <v>8</v>
      </c>
      <c r="G123" s="33"/>
      <c r="H123" s="4">
        <v>8</v>
      </c>
      <c r="I123" s="33"/>
      <c r="J123" s="4">
        <v>8</v>
      </c>
      <c r="K123" s="33"/>
      <c r="L123" s="4">
        <v>8</v>
      </c>
      <c r="M123" s="33"/>
      <c r="N123" s="4">
        <v>8</v>
      </c>
      <c r="O123" s="33"/>
      <c r="P123" s="51">
        <v>3</v>
      </c>
      <c r="Q123" s="33"/>
      <c r="R123" s="55">
        <v>3</v>
      </c>
      <c r="S123" s="33"/>
    </row>
    <row r="124" spans="1:19">
      <c r="A124" s="36"/>
      <c r="B124" s="2" t="s">
        <v>79</v>
      </c>
      <c r="C124" s="3" t="s">
        <v>80</v>
      </c>
      <c r="D124" s="36"/>
      <c r="E124" s="36"/>
      <c r="F124" s="4">
        <v>3</v>
      </c>
      <c r="G124" s="33"/>
      <c r="H124" s="4">
        <v>3</v>
      </c>
      <c r="I124" s="33"/>
      <c r="J124" s="4">
        <v>3</v>
      </c>
      <c r="K124" s="33"/>
      <c r="L124" s="4">
        <v>3</v>
      </c>
      <c r="M124" s="33"/>
      <c r="N124" s="4">
        <v>3</v>
      </c>
      <c r="O124" s="33"/>
      <c r="P124" s="51">
        <v>4</v>
      </c>
      <c r="Q124" s="33"/>
      <c r="R124" s="55">
        <v>4</v>
      </c>
      <c r="S124" s="33"/>
    </row>
    <row r="125" spans="1:19">
      <c r="A125" s="36"/>
      <c r="B125" s="2" t="s">
        <v>81</v>
      </c>
      <c r="C125" s="3" t="s">
        <v>82</v>
      </c>
      <c r="D125" s="36"/>
      <c r="E125" s="36"/>
      <c r="F125" s="4">
        <v>4</v>
      </c>
      <c r="G125" s="33"/>
      <c r="H125" s="4">
        <v>4</v>
      </c>
      <c r="I125" s="33"/>
      <c r="J125" s="4">
        <v>4</v>
      </c>
      <c r="K125" s="33"/>
      <c r="L125" s="4">
        <v>4</v>
      </c>
      <c r="M125" s="33"/>
      <c r="N125" s="4">
        <v>4</v>
      </c>
      <c r="O125" s="33"/>
      <c r="P125" s="51">
        <v>5</v>
      </c>
      <c r="Q125" s="33"/>
      <c r="R125" s="55">
        <v>5</v>
      </c>
      <c r="S125" s="33"/>
    </row>
    <row r="126" spans="1:19">
      <c r="A126" s="36"/>
      <c r="B126" s="2" t="s">
        <v>83</v>
      </c>
      <c r="C126" s="3" t="s">
        <v>84</v>
      </c>
      <c r="D126" s="36"/>
      <c r="E126" s="36"/>
      <c r="F126" s="4">
        <v>10</v>
      </c>
      <c r="G126" s="33"/>
      <c r="H126" s="4">
        <v>10</v>
      </c>
      <c r="I126" s="33"/>
      <c r="J126" s="4">
        <v>10</v>
      </c>
      <c r="K126" s="33"/>
      <c r="L126" s="4">
        <v>10</v>
      </c>
      <c r="M126" s="33"/>
      <c r="N126" s="4">
        <v>10</v>
      </c>
      <c r="O126" s="33"/>
      <c r="P126" s="51">
        <v>10</v>
      </c>
      <c r="Q126" s="33"/>
      <c r="R126" s="55">
        <v>10</v>
      </c>
      <c r="S126" s="33"/>
    </row>
    <row r="127" spans="1:19">
      <c r="A127" s="36"/>
      <c r="B127" s="2" t="s">
        <v>91</v>
      </c>
      <c r="C127" s="3" t="s">
        <v>86</v>
      </c>
      <c r="D127" s="36"/>
      <c r="E127" s="36"/>
      <c r="F127" s="4">
        <v>9</v>
      </c>
      <c r="G127" s="33"/>
      <c r="H127" s="4">
        <v>9</v>
      </c>
      <c r="I127" s="33"/>
      <c r="J127" s="4">
        <v>10</v>
      </c>
      <c r="K127" s="33"/>
      <c r="L127" s="4">
        <v>10</v>
      </c>
      <c r="M127" s="33"/>
      <c r="N127" s="4">
        <v>10</v>
      </c>
      <c r="O127" s="33"/>
      <c r="P127" s="51">
        <v>10</v>
      </c>
      <c r="Q127" s="33"/>
      <c r="R127" s="55">
        <v>10</v>
      </c>
      <c r="S127" s="33"/>
    </row>
    <row r="128" spans="1:19">
      <c r="A128" s="36"/>
      <c r="B128" s="2" t="s">
        <v>85</v>
      </c>
      <c r="C128" s="3" t="s">
        <v>88</v>
      </c>
      <c r="D128" s="36"/>
      <c r="E128" s="36"/>
      <c r="F128" s="4">
        <v>10</v>
      </c>
      <c r="G128" s="33"/>
      <c r="H128" s="4">
        <v>10</v>
      </c>
      <c r="I128" s="33"/>
      <c r="J128" s="4">
        <v>10</v>
      </c>
      <c r="K128" s="33"/>
      <c r="L128" s="4">
        <v>10</v>
      </c>
      <c r="M128" s="33"/>
      <c r="N128" s="4">
        <v>10</v>
      </c>
      <c r="O128" s="33"/>
      <c r="P128" s="51">
        <v>10</v>
      </c>
      <c r="Q128" s="33"/>
      <c r="R128" s="55">
        <v>10</v>
      </c>
      <c r="S128" s="33"/>
    </row>
    <row r="129" spans="1:19">
      <c r="A129" s="36"/>
      <c r="B129" s="2" t="s">
        <v>87</v>
      </c>
      <c r="C129" s="3" t="s">
        <v>120</v>
      </c>
      <c r="D129" s="36"/>
      <c r="E129" s="36"/>
      <c r="F129" s="4">
        <v>10</v>
      </c>
      <c r="G129" s="33"/>
      <c r="H129" s="4">
        <v>1</v>
      </c>
      <c r="I129" s="33"/>
      <c r="J129" s="4">
        <v>10</v>
      </c>
      <c r="K129" s="33"/>
      <c r="L129" s="4">
        <v>10</v>
      </c>
      <c r="M129" s="33"/>
      <c r="N129" s="4">
        <v>1</v>
      </c>
      <c r="O129" s="33"/>
      <c r="P129" s="51">
        <v>8</v>
      </c>
      <c r="Q129" s="33"/>
      <c r="R129" s="55">
        <v>8</v>
      </c>
      <c r="S129" s="33"/>
    </row>
    <row r="130" spans="1:19">
      <c r="A130" s="36"/>
      <c r="B130" s="2" t="s">
        <v>89</v>
      </c>
      <c r="C130" s="3" t="s">
        <v>90</v>
      </c>
      <c r="D130" s="36"/>
      <c r="E130" s="36"/>
      <c r="F130" s="4">
        <v>10</v>
      </c>
      <c r="G130" s="33"/>
      <c r="H130" s="4">
        <v>9</v>
      </c>
      <c r="I130" s="33"/>
      <c r="J130" s="4">
        <v>10</v>
      </c>
      <c r="K130" s="33"/>
      <c r="L130" s="4">
        <v>10</v>
      </c>
      <c r="M130" s="33"/>
      <c r="N130" s="4">
        <v>1</v>
      </c>
      <c r="O130" s="33"/>
      <c r="P130" s="51">
        <v>7</v>
      </c>
      <c r="Q130" s="33"/>
      <c r="R130" s="55">
        <v>7</v>
      </c>
      <c r="S130" s="33"/>
    </row>
    <row r="131" spans="1:19">
      <c r="A131" s="36"/>
      <c r="B131" s="2" t="s">
        <v>92</v>
      </c>
      <c r="C131" s="3" t="s">
        <v>122</v>
      </c>
      <c r="D131" s="36"/>
      <c r="E131" s="36"/>
      <c r="F131" s="4">
        <v>10</v>
      </c>
      <c r="G131" s="33"/>
      <c r="H131" s="4">
        <v>9</v>
      </c>
      <c r="I131" s="33"/>
      <c r="J131" s="4">
        <v>10</v>
      </c>
      <c r="K131" s="33"/>
      <c r="L131" s="4">
        <v>10</v>
      </c>
      <c r="M131" s="33"/>
      <c r="N131" s="4">
        <v>1</v>
      </c>
      <c r="O131" s="33"/>
      <c r="P131" s="51">
        <v>9</v>
      </c>
      <c r="Q131" s="33"/>
      <c r="R131" s="55">
        <v>9</v>
      </c>
      <c r="S131" s="33"/>
    </row>
    <row r="132" spans="1:19">
      <c r="A132" s="38" t="s">
        <v>74</v>
      </c>
      <c r="B132" s="9" t="s">
        <v>75</v>
      </c>
      <c r="C132" s="10" t="s">
        <v>76</v>
      </c>
      <c r="D132" s="38" t="s">
        <v>14</v>
      </c>
      <c r="E132" s="38" t="s">
        <v>21</v>
      </c>
      <c r="F132" s="11">
        <v>8</v>
      </c>
      <c r="G132" s="40">
        <v>7.8</v>
      </c>
      <c r="H132" s="11">
        <v>6</v>
      </c>
      <c r="I132" s="40">
        <v>6.9</v>
      </c>
      <c r="J132" s="11">
        <v>6</v>
      </c>
      <c r="K132" s="40">
        <v>6.9</v>
      </c>
      <c r="L132" s="11">
        <v>6</v>
      </c>
      <c r="M132" s="40">
        <v>6.7</v>
      </c>
      <c r="N132" s="11">
        <v>7</v>
      </c>
      <c r="O132" s="40">
        <v>7.4</v>
      </c>
      <c r="P132" s="53">
        <v>7</v>
      </c>
      <c r="Q132" s="40">
        <f t="shared" ref="Q132" si="26">SUM(P132:P141)/10</f>
        <v>7.2</v>
      </c>
      <c r="R132" s="57">
        <v>7</v>
      </c>
      <c r="S132" s="40">
        <f t="shared" ref="S132" si="27">SUM(R132:R141)/10</f>
        <v>7.2</v>
      </c>
    </row>
    <row r="133" spans="1:19">
      <c r="A133" s="39"/>
      <c r="B133" s="9" t="s">
        <v>77</v>
      </c>
      <c r="C133" s="10" t="s">
        <v>78</v>
      </c>
      <c r="D133" s="39"/>
      <c r="E133" s="39"/>
      <c r="F133" s="11">
        <v>7</v>
      </c>
      <c r="G133" s="41"/>
      <c r="H133" s="11">
        <v>7</v>
      </c>
      <c r="I133" s="41"/>
      <c r="J133" s="11">
        <v>7</v>
      </c>
      <c r="K133" s="41"/>
      <c r="L133" s="11">
        <v>7</v>
      </c>
      <c r="M133" s="41"/>
      <c r="N133" s="11">
        <v>7</v>
      </c>
      <c r="O133" s="41"/>
      <c r="P133" s="53">
        <v>1</v>
      </c>
      <c r="Q133" s="41"/>
      <c r="R133" s="57">
        <v>1</v>
      </c>
      <c r="S133" s="41"/>
    </row>
    <row r="134" spans="1:19">
      <c r="A134" s="39"/>
      <c r="B134" s="9" t="s">
        <v>79</v>
      </c>
      <c r="C134" s="10" t="s">
        <v>80</v>
      </c>
      <c r="D134" s="39"/>
      <c r="E134" s="39"/>
      <c r="F134" s="11">
        <v>3</v>
      </c>
      <c r="G134" s="41"/>
      <c r="H134" s="11">
        <v>3</v>
      </c>
      <c r="I134" s="41"/>
      <c r="J134" s="11">
        <v>3</v>
      </c>
      <c r="K134" s="41"/>
      <c r="L134" s="11">
        <v>2</v>
      </c>
      <c r="M134" s="41"/>
      <c r="N134" s="11">
        <v>2</v>
      </c>
      <c r="O134" s="41"/>
      <c r="P134" s="53">
        <v>4</v>
      </c>
      <c r="Q134" s="41"/>
      <c r="R134" s="57">
        <v>4</v>
      </c>
      <c r="S134" s="41"/>
    </row>
    <row r="135" spans="1:19">
      <c r="A135" s="39"/>
      <c r="B135" s="9" t="s">
        <v>81</v>
      </c>
      <c r="C135" s="10" t="s">
        <v>82</v>
      </c>
      <c r="D135" s="39"/>
      <c r="E135" s="39"/>
      <c r="F135" s="11">
        <v>2</v>
      </c>
      <c r="G135" s="41"/>
      <c r="H135" s="11">
        <v>2</v>
      </c>
      <c r="I135" s="41"/>
      <c r="J135" s="11">
        <v>2</v>
      </c>
      <c r="K135" s="41"/>
      <c r="L135" s="11">
        <v>1</v>
      </c>
      <c r="M135" s="41"/>
      <c r="N135" s="11">
        <v>1</v>
      </c>
      <c r="O135" s="41"/>
      <c r="P135" s="53">
        <v>6</v>
      </c>
      <c r="Q135" s="41"/>
      <c r="R135" s="57">
        <v>6</v>
      </c>
      <c r="S135" s="41"/>
    </row>
    <row r="136" spans="1:19">
      <c r="A136" s="39"/>
      <c r="B136" s="9" t="s">
        <v>83</v>
      </c>
      <c r="C136" s="10" t="s">
        <v>84</v>
      </c>
      <c r="D136" s="39"/>
      <c r="E136" s="39"/>
      <c r="F136" s="11">
        <v>10</v>
      </c>
      <c r="G136" s="41"/>
      <c r="H136" s="11">
        <v>10</v>
      </c>
      <c r="I136" s="41"/>
      <c r="J136" s="11">
        <v>10</v>
      </c>
      <c r="K136" s="41"/>
      <c r="L136" s="11">
        <v>10</v>
      </c>
      <c r="M136" s="41"/>
      <c r="N136" s="11">
        <v>10</v>
      </c>
      <c r="O136" s="41"/>
      <c r="P136" s="53">
        <v>4</v>
      </c>
      <c r="Q136" s="41"/>
      <c r="R136" s="57">
        <v>4</v>
      </c>
      <c r="S136" s="41"/>
    </row>
    <row r="137" spans="1:19">
      <c r="A137" s="39"/>
      <c r="B137" s="9" t="s">
        <v>91</v>
      </c>
      <c r="C137" s="10" t="s">
        <v>86</v>
      </c>
      <c r="D137" s="39"/>
      <c r="E137" s="39"/>
      <c r="F137" s="11">
        <v>10</v>
      </c>
      <c r="G137" s="41"/>
      <c r="H137" s="11">
        <v>10</v>
      </c>
      <c r="I137" s="41"/>
      <c r="J137" s="11">
        <v>10</v>
      </c>
      <c r="K137" s="41"/>
      <c r="L137" s="11">
        <v>10</v>
      </c>
      <c r="M137" s="41"/>
      <c r="N137" s="11">
        <v>10</v>
      </c>
      <c r="O137" s="41"/>
      <c r="P137" s="53">
        <v>10</v>
      </c>
      <c r="Q137" s="41"/>
      <c r="R137" s="57">
        <v>10</v>
      </c>
      <c r="S137" s="41"/>
    </row>
    <row r="138" spans="1:19">
      <c r="A138" s="39"/>
      <c r="B138" s="9" t="s">
        <v>85</v>
      </c>
      <c r="C138" s="10" t="s">
        <v>88</v>
      </c>
      <c r="D138" s="39"/>
      <c r="E138" s="39"/>
      <c r="F138" s="11">
        <v>10</v>
      </c>
      <c r="G138" s="41"/>
      <c r="H138" s="11">
        <v>10</v>
      </c>
      <c r="I138" s="41"/>
      <c r="J138" s="11">
        <v>10</v>
      </c>
      <c r="K138" s="41"/>
      <c r="L138" s="11">
        <v>10</v>
      </c>
      <c r="M138" s="41"/>
      <c r="N138" s="11">
        <v>10</v>
      </c>
      <c r="O138" s="41"/>
      <c r="P138" s="53">
        <v>10</v>
      </c>
      <c r="Q138" s="41"/>
      <c r="R138" s="57">
        <v>10</v>
      </c>
      <c r="S138" s="41"/>
    </row>
    <row r="139" spans="1:19">
      <c r="A139" s="39"/>
      <c r="B139" s="9" t="s">
        <v>87</v>
      </c>
      <c r="C139" s="10" t="s">
        <v>120</v>
      </c>
      <c r="D139" s="39"/>
      <c r="E139" s="39"/>
      <c r="F139" s="11">
        <v>10</v>
      </c>
      <c r="G139" s="41"/>
      <c r="H139" s="11">
        <v>10</v>
      </c>
      <c r="I139" s="41"/>
      <c r="J139" s="11">
        <v>10</v>
      </c>
      <c r="K139" s="41"/>
      <c r="L139" s="11">
        <v>10</v>
      </c>
      <c r="M139" s="41"/>
      <c r="N139" s="11">
        <v>10</v>
      </c>
      <c r="O139" s="41"/>
      <c r="P139" s="53">
        <v>10</v>
      </c>
      <c r="Q139" s="41"/>
      <c r="R139" s="57">
        <v>10</v>
      </c>
      <c r="S139" s="41"/>
    </row>
    <row r="140" spans="1:19">
      <c r="A140" s="39"/>
      <c r="B140" s="9" t="s">
        <v>89</v>
      </c>
      <c r="C140" s="10" t="s">
        <v>90</v>
      </c>
      <c r="D140" s="39"/>
      <c r="E140" s="39"/>
      <c r="F140" s="11">
        <v>10</v>
      </c>
      <c r="G140" s="41"/>
      <c r="H140" s="11">
        <v>10</v>
      </c>
      <c r="I140" s="41"/>
      <c r="J140" s="11">
        <v>10</v>
      </c>
      <c r="K140" s="41"/>
      <c r="L140" s="11">
        <v>10</v>
      </c>
      <c r="M140" s="41"/>
      <c r="N140" s="11">
        <v>10</v>
      </c>
      <c r="O140" s="41"/>
      <c r="P140" s="53">
        <v>10</v>
      </c>
      <c r="Q140" s="41"/>
      <c r="R140" s="57">
        <v>10</v>
      </c>
      <c r="S140" s="41"/>
    </row>
    <row r="141" spans="1:19">
      <c r="A141" s="39"/>
      <c r="B141" s="9" t="s">
        <v>92</v>
      </c>
      <c r="C141" s="10" t="s">
        <v>122</v>
      </c>
      <c r="D141" s="39"/>
      <c r="E141" s="39"/>
      <c r="F141" s="11">
        <v>8</v>
      </c>
      <c r="G141" s="41"/>
      <c r="H141" s="11">
        <v>1</v>
      </c>
      <c r="I141" s="41"/>
      <c r="J141" s="11">
        <v>1</v>
      </c>
      <c r="K141" s="41"/>
      <c r="L141" s="11">
        <v>1</v>
      </c>
      <c r="M141" s="41"/>
      <c r="N141" s="11">
        <v>7</v>
      </c>
      <c r="O141" s="41"/>
      <c r="P141" s="53">
        <v>10</v>
      </c>
      <c r="Q141" s="41"/>
      <c r="R141" s="57">
        <v>10</v>
      </c>
      <c r="S141" s="41"/>
    </row>
    <row r="142" spans="1:19">
      <c r="A142" s="35" t="s">
        <v>74</v>
      </c>
      <c r="B142" s="2" t="s">
        <v>75</v>
      </c>
      <c r="C142" s="3" t="s">
        <v>76</v>
      </c>
      <c r="D142" s="35" t="s">
        <v>14</v>
      </c>
      <c r="E142" s="35" t="s">
        <v>22</v>
      </c>
      <c r="F142" s="4">
        <v>8</v>
      </c>
      <c r="G142" s="32">
        <v>8.4</v>
      </c>
      <c r="H142" s="4">
        <v>6</v>
      </c>
      <c r="I142" s="32">
        <v>7.9</v>
      </c>
      <c r="J142" s="4">
        <v>7</v>
      </c>
      <c r="K142" s="32">
        <v>8.1</v>
      </c>
      <c r="L142" s="4">
        <v>7</v>
      </c>
      <c r="M142" s="32">
        <v>8.1999999999999993</v>
      </c>
      <c r="N142" s="4">
        <v>8</v>
      </c>
      <c r="O142" s="32">
        <v>8.3000000000000007</v>
      </c>
      <c r="P142" s="51">
        <v>10</v>
      </c>
      <c r="Q142" s="32">
        <f t="shared" ref="Q142" si="28">SUM(P142:P151)/10</f>
        <v>9.9</v>
      </c>
      <c r="R142" s="55">
        <v>10</v>
      </c>
      <c r="S142" s="32">
        <f t="shared" ref="S142" si="29">SUM(R142:R151)/10</f>
        <v>9.9</v>
      </c>
    </row>
    <row r="143" spans="1:19">
      <c r="A143" s="36"/>
      <c r="B143" s="2" t="s">
        <v>77</v>
      </c>
      <c r="C143" s="3" t="s">
        <v>78</v>
      </c>
      <c r="D143" s="36"/>
      <c r="E143" s="36"/>
      <c r="F143" s="4">
        <v>9</v>
      </c>
      <c r="G143" s="33"/>
      <c r="H143" s="4">
        <v>8</v>
      </c>
      <c r="I143" s="33"/>
      <c r="J143" s="4">
        <v>8</v>
      </c>
      <c r="K143" s="33"/>
      <c r="L143" s="4">
        <v>9</v>
      </c>
      <c r="M143" s="33"/>
      <c r="N143" s="4">
        <v>9</v>
      </c>
      <c r="O143" s="33"/>
      <c r="P143" s="51">
        <v>10</v>
      </c>
      <c r="Q143" s="33"/>
      <c r="R143" s="55">
        <v>10</v>
      </c>
      <c r="S143" s="33"/>
    </row>
    <row r="144" spans="1:19">
      <c r="A144" s="36"/>
      <c r="B144" s="2" t="s">
        <v>79</v>
      </c>
      <c r="C144" s="3" t="s">
        <v>80</v>
      </c>
      <c r="D144" s="36"/>
      <c r="E144" s="36"/>
      <c r="F144" s="4">
        <v>3</v>
      </c>
      <c r="G144" s="33"/>
      <c r="H144" s="4">
        <v>2</v>
      </c>
      <c r="I144" s="33"/>
      <c r="J144" s="4">
        <v>3</v>
      </c>
      <c r="K144" s="33"/>
      <c r="L144" s="4">
        <v>3</v>
      </c>
      <c r="M144" s="33"/>
      <c r="N144" s="4">
        <v>2</v>
      </c>
      <c r="O144" s="33"/>
      <c r="P144" s="51">
        <v>10</v>
      </c>
      <c r="Q144" s="33"/>
      <c r="R144" s="55">
        <v>10</v>
      </c>
      <c r="S144" s="33"/>
    </row>
    <row r="145" spans="1:19">
      <c r="A145" s="36"/>
      <c r="B145" s="2" t="s">
        <v>81</v>
      </c>
      <c r="C145" s="3" t="s">
        <v>82</v>
      </c>
      <c r="D145" s="36"/>
      <c r="E145" s="36"/>
      <c r="F145" s="4">
        <v>4</v>
      </c>
      <c r="G145" s="33"/>
      <c r="H145" s="4">
        <v>3</v>
      </c>
      <c r="I145" s="33"/>
      <c r="J145" s="4">
        <v>3</v>
      </c>
      <c r="K145" s="33"/>
      <c r="L145" s="4">
        <v>4</v>
      </c>
      <c r="M145" s="33"/>
      <c r="N145" s="4">
        <v>4</v>
      </c>
      <c r="O145" s="33"/>
      <c r="P145" s="51">
        <v>10</v>
      </c>
      <c r="Q145" s="33"/>
      <c r="R145" s="55">
        <v>10</v>
      </c>
      <c r="S145" s="33"/>
    </row>
    <row r="146" spans="1:19">
      <c r="A146" s="36"/>
      <c r="B146" s="2" t="s">
        <v>83</v>
      </c>
      <c r="C146" s="3" t="s">
        <v>84</v>
      </c>
      <c r="D146" s="36"/>
      <c r="E146" s="36"/>
      <c r="F146" s="4">
        <v>10</v>
      </c>
      <c r="G146" s="33"/>
      <c r="H146" s="4">
        <v>10</v>
      </c>
      <c r="I146" s="33"/>
      <c r="J146" s="4">
        <v>10</v>
      </c>
      <c r="K146" s="33"/>
      <c r="L146" s="4">
        <v>10</v>
      </c>
      <c r="M146" s="33"/>
      <c r="N146" s="4">
        <v>10</v>
      </c>
      <c r="O146" s="33"/>
      <c r="P146" s="51">
        <v>9</v>
      </c>
      <c r="Q146" s="33"/>
      <c r="R146" s="55">
        <v>9</v>
      </c>
      <c r="S146" s="33"/>
    </row>
    <row r="147" spans="1:19">
      <c r="A147" s="36"/>
      <c r="B147" s="2" t="s">
        <v>91</v>
      </c>
      <c r="C147" s="3" t="s">
        <v>86</v>
      </c>
      <c r="D147" s="36"/>
      <c r="E147" s="36"/>
      <c r="F147" s="4">
        <v>10</v>
      </c>
      <c r="G147" s="33"/>
      <c r="H147" s="4">
        <v>10</v>
      </c>
      <c r="I147" s="33"/>
      <c r="J147" s="4">
        <v>10</v>
      </c>
      <c r="K147" s="33"/>
      <c r="L147" s="4">
        <v>10</v>
      </c>
      <c r="M147" s="33"/>
      <c r="N147" s="4">
        <v>10</v>
      </c>
      <c r="O147" s="33"/>
      <c r="P147" s="51">
        <v>10</v>
      </c>
      <c r="Q147" s="33"/>
      <c r="R147" s="55">
        <v>10</v>
      </c>
      <c r="S147" s="33"/>
    </row>
    <row r="148" spans="1:19">
      <c r="A148" s="36"/>
      <c r="B148" s="2" t="s">
        <v>85</v>
      </c>
      <c r="C148" s="3" t="s">
        <v>88</v>
      </c>
      <c r="D148" s="36"/>
      <c r="E148" s="36"/>
      <c r="F148" s="4">
        <v>10</v>
      </c>
      <c r="G148" s="33"/>
      <c r="H148" s="4">
        <v>10</v>
      </c>
      <c r="I148" s="33"/>
      <c r="J148" s="4">
        <v>10</v>
      </c>
      <c r="K148" s="33"/>
      <c r="L148" s="4">
        <v>10</v>
      </c>
      <c r="M148" s="33"/>
      <c r="N148" s="4">
        <v>10</v>
      </c>
      <c r="O148" s="33"/>
      <c r="P148" s="51">
        <v>10</v>
      </c>
      <c r="Q148" s="33"/>
      <c r="R148" s="55">
        <v>10</v>
      </c>
      <c r="S148" s="33"/>
    </row>
    <row r="149" spans="1:19">
      <c r="A149" s="36"/>
      <c r="B149" s="2" t="s">
        <v>87</v>
      </c>
      <c r="C149" s="3" t="s">
        <v>120</v>
      </c>
      <c r="D149" s="36"/>
      <c r="E149" s="36"/>
      <c r="F149" s="4">
        <v>10</v>
      </c>
      <c r="G149" s="33"/>
      <c r="H149" s="4">
        <v>10</v>
      </c>
      <c r="I149" s="33"/>
      <c r="J149" s="4">
        <v>10</v>
      </c>
      <c r="K149" s="33"/>
      <c r="L149" s="4">
        <v>9</v>
      </c>
      <c r="M149" s="33"/>
      <c r="N149" s="4">
        <v>10</v>
      </c>
      <c r="O149" s="33"/>
      <c r="P149" s="51">
        <v>10</v>
      </c>
      <c r="Q149" s="33"/>
      <c r="R149" s="55">
        <v>10</v>
      </c>
      <c r="S149" s="33"/>
    </row>
    <row r="150" spans="1:19">
      <c r="A150" s="36"/>
      <c r="B150" s="2" t="s">
        <v>89</v>
      </c>
      <c r="C150" s="3" t="s">
        <v>90</v>
      </c>
      <c r="D150" s="36"/>
      <c r="E150" s="36"/>
      <c r="F150" s="4">
        <v>10</v>
      </c>
      <c r="G150" s="33"/>
      <c r="H150" s="4">
        <v>10</v>
      </c>
      <c r="I150" s="33"/>
      <c r="J150" s="4">
        <v>10</v>
      </c>
      <c r="K150" s="33"/>
      <c r="L150" s="4">
        <v>10</v>
      </c>
      <c r="M150" s="33"/>
      <c r="N150" s="4">
        <v>10</v>
      </c>
      <c r="O150" s="33"/>
      <c r="P150" s="51">
        <v>10</v>
      </c>
      <c r="Q150" s="33"/>
      <c r="R150" s="55">
        <v>10</v>
      </c>
      <c r="S150" s="33"/>
    </row>
    <row r="151" spans="1:19">
      <c r="A151" s="36"/>
      <c r="B151" s="2" t="s">
        <v>92</v>
      </c>
      <c r="C151" s="3" t="s">
        <v>122</v>
      </c>
      <c r="D151" s="36"/>
      <c r="E151" s="36"/>
      <c r="F151" s="4">
        <v>10</v>
      </c>
      <c r="G151" s="33"/>
      <c r="H151" s="4">
        <v>10</v>
      </c>
      <c r="I151" s="33"/>
      <c r="J151" s="4">
        <v>10</v>
      </c>
      <c r="K151" s="33"/>
      <c r="L151" s="4">
        <v>10</v>
      </c>
      <c r="M151" s="33"/>
      <c r="N151" s="4">
        <v>10</v>
      </c>
      <c r="O151" s="33"/>
      <c r="P151" s="51">
        <v>10</v>
      </c>
      <c r="Q151" s="33"/>
      <c r="R151" s="55">
        <v>10</v>
      </c>
      <c r="S151" s="33"/>
    </row>
    <row r="152" spans="1:19">
      <c r="A152" s="38" t="s">
        <v>74</v>
      </c>
      <c r="B152" s="9" t="s">
        <v>75</v>
      </c>
      <c r="C152" s="10" t="s">
        <v>76</v>
      </c>
      <c r="D152" s="38" t="s">
        <v>14</v>
      </c>
      <c r="E152" s="38" t="s">
        <v>23</v>
      </c>
      <c r="F152" s="11">
        <v>8</v>
      </c>
      <c r="G152" s="40">
        <v>7.5</v>
      </c>
      <c r="H152" s="11">
        <v>8</v>
      </c>
      <c r="I152" s="40">
        <v>7.5</v>
      </c>
      <c r="J152" s="11">
        <v>8</v>
      </c>
      <c r="K152" s="40">
        <v>8</v>
      </c>
      <c r="L152" s="11">
        <v>7</v>
      </c>
      <c r="M152" s="40">
        <v>6.2</v>
      </c>
      <c r="N152" s="11">
        <v>8</v>
      </c>
      <c r="O152" s="40">
        <v>7.4</v>
      </c>
      <c r="P152" s="53">
        <v>9</v>
      </c>
      <c r="Q152" s="40">
        <f t="shared" ref="Q152" si="30">SUM(P152:P161)/10</f>
        <v>8.1</v>
      </c>
      <c r="R152" s="57">
        <v>9</v>
      </c>
      <c r="S152" s="40">
        <f t="shared" ref="S152" si="31">SUM(R152:R161)/10</f>
        <v>8.1</v>
      </c>
    </row>
    <row r="153" spans="1:19">
      <c r="A153" s="39"/>
      <c r="B153" s="9" t="s">
        <v>77</v>
      </c>
      <c r="C153" s="10" t="s">
        <v>78</v>
      </c>
      <c r="D153" s="39"/>
      <c r="E153" s="39"/>
      <c r="F153" s="11">
        <v>8</v>
      </c>
      <c r="G153" s="41"/>
      <c r="H153" s="11">
        <v>8</v>
      </c>
      <c r="I153" s="41"/>
      <c r="J153" s="11">
        <v>8</v>
      </c>
      <c r="K153" s="41"/>
      <c r="L153" s="11">
        <v>8</v>
      </c>
      <c r="M153" s="41"/>
      <c r="N153" s="11">
        <v>8</v>
      </c>
      <c r="O153" s="41"/>
      <c r="P153" s="53">
        <v>10</v>
      </c>
      <c r="Q153" s="41"/>
      <c r="R153" s="57">
        <v>10</v>
      </c>
      <c r="S153" s="41"/>
    </row>
    <row r="154" spans="1:19">
      <c r="A154" s="39"/>
      <c r="B154" s="9" t="s">
        <v>79</v>
      </c>
      <c r="C154" s="10" t="s">
        <v>80</v>
      </c>
      <c r="D154" s="39"/>
      <c r="E154" s="39"/>
      <c r="F154" s="11">
        <v>5</v>
      </c>
      <c r="G154" s="41"/>
      <c r="H154" s="11">
        <v>5</v>
      </c>
      <c r="I154" s="41"/>
      <c r="J154" s="11">
        <v>5</v>
      </c>
      <c r="K154" s="41"/>
      <c r="L154" s="11">
        <v>5</v>
      </c>
      <c r="M154" s="41"/>
      <c r="N154" s="11">
        <v>4</v>
      </c>
      <c r="O154" s="41"/>
      <c r="P154" s="53">
        <v>6</v>
      </c>
      <c r="Q154" s="41"/>
      <c r="R154" s="57">
        <v>6</v>
      </c>
      <c r="S154" s="41"/>
    </row>
    <row r="155" spans="1:19">
      <c r="A155" s="39"/>
      <c r="B155" s="9" t="s">
        <v>81</v>
      </c>
      <c r="C155" s="10" t="s">
        <v>82</v>
      </c>
      <c r="D155" s="39"/>
      <c r="E155" s="39"/>
      <c r="F155" s="11">
        <v>6</v>
      </c>
      <c r="G155" s="41"/>
      <c r="H155" s="11">
        <v>6</v>
      </c>
      <c r="I155" s="41"/>
      <c r="J155" s="11">
        <v>5</v>
      </c>
      <c r="K155" s="41"/>
      <c r="L155" s="11">
        <v>5</v>
      </c>
      <c r="M155" s="41"/>
      <c r="N155" s="11">
        <v>5</v>
      </c>
      <c r="O155" s="41"/>
      <c r="P155" s="53">
        <v>7</v>
      </c>
      <c r="Q155" s="41"/>
      <c r="R155" s="57">
        <v>7</v>
      </c>
      <c r="S155" s="41"/>
    </row>
    <row r="156" spans="1:19">
      <c r="A156" s="39"/>
      <c r="B156" s="9" t="s">
        <v>83</v>
      </c>
      <c r="C156" s="10" t="s">
        <v>84</v>
      </c>
      <c r="D156" s="39"/>
      <c r="E156" s="39"/>
      <c r="F156" s="11">
        <v>8</v>
      </c>
      <c r="G156" s="41"/>
      <c r="H156" s="11">
        <v>9</v>
      </c>
      <c r="I156" s="41"/>
      <c r="J156" s="11">
        <v>8</v>
      </c>
      <c r="K156" s="41"/>
      <c r="L156" s="11">
        <v>9</v>
      </c>
      <c r="M156" s="41"/>
      <c r="N156" s="11">
        <v>8</v>
      </c>
      <c r="O156" s="41"/>
      <c r="P156" s="53">
        <v>1</v>
      </c>
      <c r="Q156" s="41"/>
      <c r="R156" s="57">
        <v>1</v>
      </c>
      <c r="S156" s="41"/>
    </row>
    <row r="157" spans="1:19">
      <c r="A157" s="39"/>
      <c r="B157" s="9" t="s">
        <v>91</v>
      </c>
      <c r="C157" s="10" t="s">
        <v>86</v>
      </c>
      <c r="D157" s="39"/>
      <c r="E157" s="39"/>
      <c r="F157" s="11">
        <v>9</v>
      </c>
      <c r="G157" s="41"/>
      <c r="H157" s="11">
        <v>9</v>
      </c>
      <c r="I157" s="41"/>
      <c r="J157" s="11">
        <v>9</v>
      </c>
      <c r="K157" s="41"/>
      <c r="L157" s="11">
        <v>9</v>
      </c>
      <c r="M157" s="41"/>
      <c r="N157" s="11">
        <v>9</v>
      </c>
      <c r="O157" s="41"/>
      <c r="P157" s="53">
        <v>10</v>
      </c>
      <c r="Q157" s="41"/>
      <c r="R157" s="57">
        <v>10</v>
      </c>
      <c r="S157" s="41"/>
    </row>
    <row r="158" spans="1:19">
      <c r="A158" s="39"/>
      <c r="B158" s="9" t="s">
        <v>85</v>
      </c>
      <c r="C158" s="10" t="s">
        <v>88</v>
      </c>
      <c r="D158" s="39"/>
      <c r="E158" s="39"/>
      <c r="F158" s="11">
        <v>6</v>
      </c>
      <c r="G158" s="41"/>
      <c r="H158" s="11">
        <v>8</v>
      </c>
      <c r="I158" s="41"/>
      <c r="J158" s="11">
        <v>8</v>
      </c>
      <c r="K158" s="41"/>
      <c r="L158" s="11">
        <v>8</v>
      </c>
      <c r="M158" s="41"/>
      <c r="N158" s="11">
        <v>8</v>
      </c>
      <c r="O158" s="41"/>
      <c r="P158" s="53">
        <v>10</v>
      </c>
      <c r="Q158" s="41"/>
      <c r="R158" s="57">
        <v>10</v>
      </c>
      <c r="S158" s="41"/>
    </row>
    <row r="159" spans="1:19">
      <c r="A159" s="39"/>
      <c r="B159" s="9" t="s">
        <v>87</v>
      </c>
      <c r="C159" s="10" t="s">
        <v>120</v>
      </c>
      <c r="D159" s="39"/>
      <c r="E159" s="39"/>
      <c r="F159" s="11">
        <v>8</v>
      </c>
      <c r="G159" s="41"/>
      <c r="H159" s="11">
        <v>10</v>
      </c>
      <c r="I159" s="41"/>
      <c r="J159" s="11">
        <v>10</v>
      </c>
      <c r="K159" s="41"/>
      <c r="L159" s="11">
        <v>1</v>
      </c>
      <c r="M159" s="41"/>
      <c r="N159" s="11">
        <v>10</v>
      </c>
      <c r="O159" s="41"/>
      <c r="P159" s="53">
        <v>10</v>
      </c>
      <c r="Q159" s="41"/>
      <c r="R159" s="57">
        <v>10</v>
      </c>
      <c r="S159" s="41"/>
    </row>
    <row r="160" spans="1:19">
      <c r="A160" s="39"/>
      <c r="B160" s="9" t="s">
        <v>89</v>
      </c>
      <c r="C160" s="10" t="s">
        <v>90</v>
      </c>
      <c r="D160" s="39"/>
      <c r="E160" s="39"/>
      <c r="F160" s="11">
        <v>9</v>
      </c>
      <c r="G160" s="41"/>
      <c r="H160" s="11">
        <v>2</v>
      </c>
      <c r="I160" s="41"/>
      <c r="J160" s="11">
        <v>9</v>
      </c>
      <c r="K160" s="41"/>
      <c r="L160" s="11">
        <v>1</v>
      </c>
      <c r="M160" s="41"/>
      <c r="N160" s="11">
        <v>6</v>
      </c>
      <c r="O160" s="41"/>
      <c r="P160" s="53">
        <v>10</v>
      </c>
      <c r="Q160" s="41"/>
      <c r="R160" s="57">
        <v>10</v>
      </c>
      <c r="S160" s="41"/>
    </row>
    <row r="161" spans="1:19">
      <c r="A161" s="39"/>
      <c r="B161" s="9" t="s">
        <v>92</v>
      </c>
      <c r="C161" s="10" t="s">
        <v>122</v>
      </c>
      <c r="D161" s="39"/>
      <c r="E161" s="39"/>
      <c r="F161" s="11">
        <v>8</v>
      </c>
      <c r="G161" s="41"/>
      <c r="H161" s="11">
        <v>10</v>
      </c>
      <c r="I161" s="41"/>
      <c r="J161" s="11">
        <v>10</v>
      </c>
      <c r="K161" s="41"/>
      <c r="L161" s="11">
        <v>9</v>
      </c>
      <c r="M161" s="41"/>
      <c r="N161" s="11">
        <v>8</v>
      </c>
      <c r="O161" s="41"/>
      <c r="P161" s="53">
        <v>8</v>
      </c>
      <c r="Q161" s="41"/>
      <c r="R161" s="57">
        <v>8</v>
      </c>
      <c r="S161" s="41"/>
    </row>
    <row r="162" spans="1:19">
      <c r="A162" s="35" t="s">
        <v>74</v>
      </c>
      <c r="B162" s="2" t="s">
        <v>75</v>
      </c>
      <c r="C162" s="3" t="s">
        <v>76</v>
      </c>
      <c r="D162" s="35" t="s">
        <v>24</v>
      </c>
      <c r="E162" s="35" t="s">
        <v>25</v>
      </c>
      <c r="F162" s="4">
        <v>6</v>
      </c>
      <c r="G162" s="32">
        <v>8.5</v>
      </c>
      <c r="H162" s="4">
        <v>5</v>
      </c>
      <c r="I162" s="32">
        <v>8.3000000000000007</v>
      </c>
      <c r="J162" s="4">
        <v>4</v>
      </c>
      <c r="K162" s="32">
        <v>7.7</v>
      </c>
      <c r="L162" s="4">
        <v>4</v>
      </c>
      <c r="M162" s="32">
        <v>8.4</v>
      </c>
      <c r="N162" s="4">
        <v>5</v>
      </c>
      <c r="O162" s="32">
        <v>8.4</v>
      </c>
      <c r="P162" s="51">
        <v>9</v>
      </c>
      <c r="Q162" s="32">
        <f t="shared" ref="Q162" si="32">SUM(P162:P171)/10</f>
        <v>7.7</v>
      </c>
      <c r="R162" s="55">
        <v>9</v>
      </c>
      <c r="S162" s="32">
        <f t="shared" ref="S162" si="33">SUM(R162:R171)/10</f>
        <v>7.7</v>
      </c>
    </row>
    <row r="163" spans="1:19">
      <c r="A163" s="36"/>
      <c r="B163" s="2" t="s">
        <v>77</v>
      </c>
      <c r="C163" s="3" t="s">
        <v>78</v>
      </c>
      <c r="D163" s="36"/>
      <c r="E163" s="36"/>
      <c r="F163" s="4">
        <v>8</v>
      </c>
      <c r="G163" s="33"/>
      <c r="H163" s="4">
        <v>8</v>
      </c>
      <c r="I163" s="33"/>
      <c r="J163" s="4">
        <v>8</v>
      </c>
      <c r="K163" s="33"/>
      <c r="L163" s="4">
        <v>8</v>
      </c>
      <c r="M163" s="33"/>
      <c r="N163" s="4">
        <v>9</v>
      </c>
      <c r="O163" s="33"/>
      <c r="P163" s="51">
        <v>7</v>
      </c>
      <c r="Q163" s="33"/>
      <c r="R163" s="55">
        <v>7</v>
      </c>
      <c r="S163" s="33"/>
    </row>
    <row r="164" spans="1:19">
      <c r="A164" s="36"/>
      <c r="B164" s="2" t="s">
        <v>79</v>
      </c>
      <c r="C164" s="3" t="s">
        <v>80</v>
      </c>
      <c r="D164" s="36"/>
      <c r="E164" s="36"/>
      <c r="F164" s="4">
        <v>6</v>
      </c>
      <c r="G164" s="33"/>
      <c r="H164" s="4">
        <v>6</v>
      </c>
      <c r="I164" s="33"/>
      <c r="J164" s="4">
        <v>6</v>
      </c>
      <c r="K164" s="33"/>
      <c r="L164" s="4">
        <v>7</v>
      </c>
      <c r="M164" s="33"/>
      <c r="N164" s="4">
        <v>7</v>
      </c>
      <c r="O164" s="33"/>
      <c r="P164" s="51">
        <v>7</v>
      </c>
      <c r="Q164" s="33"/>
      <c r="R164" s="55">
        <v>7</v>
      </c>
      <c r="S164" s="33"/>
    </row>
    <row r="165" spans="1:19">
      <c r="A165" s="36"/>
      <c r="B165" s="2" t="s">
        <v>81</v>
      </c>
      <c r="C165" s="3" t="s">
        <v>82</v>
      </c>
      <c r="D165" s="36"/>
      <c r="E165" s="36"/>
      <c r="F165" s="4">
        <v>6</v>
      </c>
      <c r="G165" s="33"/>
      <c r="H165" s="4">
        <v>5</v>
      </c>
      <c r="I165" s="33"/>
      <c r="J165" s="4">
        <v>5</v>
      </c>
      <c r="K165" s="33"/>
      <c r="L165" s="4">
        <v>5</v>
      </c>
      <c r="M165" s="33"/>
      <c r="N165" s="4">
        <v>5</v>
      </c>
      <c r="O165" s="33"/>
      <c r="P165" s="51">
        <v>10</v>
      </c>
      <c r="Q165" s="33"/>
      <c r="R165" s="55">
        <v>10</v>
      </c>
      <c r="S165" s="33"/>
    </row>
    <row r="166" spans="1:19">
      <c r="A166" s="36"/>
      <c r="B166" s="2" t="s">
        <v>83</v>
      </c>
      <c r="C166" s="3" t="s">
        <v>84</v>
      </c>
      <c r="D166" s="36"/>
      <c r="E166" s="36"/>
      <c r="F166" s="4">
        <v>10</v>
      </c>
      <c r="G166" s="33"/>
      <c r="H166" s="4">
        <v>10</v>
      </c>
      <c r="I166" s="33"/>
      <c r="J166" s="4">
        <v>10</v>
      </c>
      <c r="K166" s="33"/>
      <c r="L166" s="4">
        <v>10</v>
      </c>
      <c r="M166" s="33"/>
      <c r="N166" s="4">
        <v>10</v>
      </c>
      <c r="O166" s="33"/>
      <c r="P166" s="51">
        <v>1</v>
      </c>
      <c r="Q166" s="33"/>
      <c r="R166" s="55">
        <v>1</v>
      </c>
      <c r="S166" s="33"/>
    </row>
    <row r="167" spans="1:19">
      <c r="A167" s="36"/>
      <c r="B167" s="2" t="s">
        <v>91</v>
      </c>
      <c r="C167" s="3" t="s">
        <v>86</v>
      </c>
      <c r="D167" s="36"/>
      <c r="E167" s="36"/>
      <c r="F167" s="4">
        <v>10</v>
      </c>
      <c r="G167" s="33"/>
      <c r="H167" s="4">
        <v>10</v>
      </c>
      <c r="I167" s="33"/>
      <c r="J167" s="4">
        <v>10</v>
      </c>
      <c r="K167" s="33"/>
      <c r="L167" s="4">
        <v>10</v>
      </c>
      <c r="M167" s="33"/>
      <c r="N167" s="4">
        <v>10</v>
      </c>
      <c r="O167" s="33"/>
      <c r="P167" s="51">
        <v>9</v>
      </c>
      <c r="Q167" s="33"/>
      <c r="R167" s="55">
        <v>9</v>
      </c>
      <c r="S167" s="33"/>
    </row>
    <row r="168" spans="1:19">
      <c r="A168" s="36"/>
      <c r="B168" s="2" t="s">
        <v>85</v>
      </c>
      <c r="C168" s="3" t="s">
        <v>88</v>
      </c>
      <c r="D168" s="36"/>
      <c r="E168" s="36"/>
      <c r="F168" s="4">
        <v>10</v>
      </c>
      <c r="G168" s="33"/>
      <c r="H168" s="4">
        <v>10</v>
      </c>
      <c r="I168" s="33"/>
      <c r="J168" s="4">
        <v>10</v>
      </c>
      <c r="K168" s="33"/>
      <c r="L168" s="4">
        <v>10</v>
      </c>
      <c r="M168" s="33"/>
      <c r="N168" s="4">
        <v>10</v>
      </c>
      <c r="O168" s="33"/>
      <c r="P168" s="51">
        <v>10</v>
      </c>
      <c r="Q168" s="33"/>
      <c r="R168" s="55">
        <v>10</v>
      </c>
      <c r="S168" s="33"/>
    </row>
    <row r="169" spans="1:19">
      <c r="A169" s="36"/>
      <c r="B169" s="2" t="s">
        <v>87</v>
      </c>
      <c r="C169" s="3" t="s">
        <v>120</v>
      </c>
      <c r="D169" s="36"/>
      <c r="E169" s="36"/>
      <c r="F169" s="4">
        <v>10</v>
      </c>
      <c r="G169" s="33"/>
      <c r="H169" s="4">
        <v>9</v>
      </c>
      <c r="I169" s="33"/>
      <c r="J169" s="4">
        <v>9</v>
      </c>
      <c r="K169" s="33"/>
      <c r="L169" s="4">
        <v>10</v>
      </c>
      <c r="M169" s="33"/>
      <c r="N169" s="4">
        <v>10</v>
      </c>
      <c r="O169" s="33"/>
      <c r="P169" s="51">
        <v>9</v>
      </c>
      <c r="Q169" s="33"/>
      <c r="R169" s="55">
        <v>9</v>
      </c>
      <c r="S169" s="33"/>
    </row>
    <row r="170" spans="1:19">
      <c r="A170" s="36"/>
      <c r="B170" s="2" t="s">
        <v>89</v>
      </c>
      <c r="C170" s="3" t="s">
        <v>90</v>
      </c>
      <c r="D170" s="36"/>
      <c r="E170" s="36"/>
      <c r="F170" s="4">
        <v>10</v>
      </c>
      <c r="G170" s="33"/>
      <c r="H170" s="4">
        <v>10</v>
      </c>
      <c r="I170" s="33"/>
      <c r="J170" s="4">
        <v>8</v>
      </c>
      <c r="K170" s="33"/>
      <c r="L170" s="4">
        <v>10</v>
      </c>
      <c r="M170" s="33"/>
      <c r="N170" s="4">
        <v>10</v>
      </c>
      <c r="O170" s="33"/>
      <c r="P170" s="51">
        <v>8</v>
      </c>
      <c r="Q170" s="33"/>
      <c r="R170" s="55">
        <v>8</v>
      </c>
      <c r="S170" s="33"/>
    </row>
    <row r="171" spans="1:19">
      <c r="A171" s="36"/>
      <c r="B171" s="2" t="s">
        <v>92</v>
      </c>
      <c r="C171" s="3" t="s">
        <v>122</v>
      </c>
      <c r="D171" s="36"/>
      <c r="E171" s="36"/>
      <c r="F171" s="4">
        <v>9</v>
      </c>
      <c r="G171" s="33"/>
      <c r="H171" s="4">
        <v>10</v>
      </c>
      <c r="I171" s="33"/>
      <c r="J171" s="4">
        <v>7</v>
      </c>
      <c r="K171" s="33"/>
      <c r="L171" s="4">
        <v>10</v>
      </c>
      <c r="M171" s="33"/>
      <c r="N171" s="4">
        <v>8</v>
      </c>
      <c r="O171" s="33"/>
      <c r="P171" s="51">
        <v>7</v>
      </c>
      <c r="Q171" s="33"/>
      <c r="R171" s="55">
        <v>7</v>
      </c>
      <c r="S171" s="33"/>
    </row>
    <row r="172" spans="1:19">
      <c r="A172" s="38" t="s">
        <v>74</v>
      </c>
      <c r="B172" s="9" t="s">
        <v>75</v>
      </c>
      <c r="C172" s="10" t="s">
        <v>76</v>
      </c>
      <c r="D172" s="38" t="s">
        <v>24</v>
      </c>
      <c r="E172" s="38" t="s">
        <v>26</v>
      </c>
      <c r="F172" s="11">
        <v>7</v>
      </c>
      <c r="G172" s="40">
        <v>7.1</v>
      </c>
      <c r="H172" s="11">
        <v>5</v>
      </c>
      <c r="I172" s="40">
        <v>6.9</v>
      </c>
      <c r="J172" s="11">
        <v>4</v>
      </c>
      <c r="K172" s="40">
        <v>5.3</v>
      </c>
      <c r="L172" s="11">
        <v>5</v>
      </c>
      <c r="M172" s="40">
        <v>7.1</v>
      </c>
      <c r="N172" s="11">
        <v>5</v>
      </c>
      <c r="O172" s="40">
        <v>5.7</v>
      </c>
      <c r="P172" s="53">
        <v>9</v>
      </c>
      <c r="Q172" s="40">
        <f t="shared" ref="Q172" si="34">SUM(P172:P181)/10</f>
        <v>9.6</v>
      </c>
      <c r="R172" s="57">
        <v>9</v>
      </c>
      <c r="S172" s="40">
        <f t="shared" ref="S172" si="35">SUM(R172:R181)/10</f>
        <v>9.6</v>
      </c>
    </row>
    <row r="173" spans="1:19">
      <c r="A173" s="39"/>
      <c r="B173" s="9" t="s">
        <v>77</v>
      </c>
      <c r="C173" s="10" t="s">
        <v>78</v>
      </c>
      <c r="D173" s="39"/>
      <c r="E173" s="39"/>
      <c r="F173" s="11">
        <v>8</v>
      </c>
      <c r="G173" s="41"/>
      <c r="H173" s="11">
        <v>8</v>
      </c>
      <c r="I173" s="41"/>
      <c r="J173" s="11">
        <v>8</v>
      </c>
      <c r="K173" s="41"/>
      <c r="L173" s="11">
        <v>8</v>
      </c>
      <c r="M173" s="41"/>
      <c r="N173" s="11">
        <v>8</v>
      </c>
      <c r="O173" s="41"/>
      <c r="P173" s="53">
        <v>10</v>
      </c>
      <c r="Q173" s="41"/>
      <c r="R173" s="57">
        <v>10</v>
      </c>
      <c r="S173" s="41"/>
    </row>
    <row r="174" spans="1:19">
      <c r="A174" s="39"/>
      <c r="B174" s="9" t="s">
        <v>79</v>
      </c>
      <c r="C174" s="10" t="s">
        <v>80</v>
      </c>
      <c r="D174" s="39"/>
      <c r="E174" s="39"/>
      <c r="F174" s="11">
        <v>8</v>
      </c>
      <c r="G174" s="41"/>
      <c r="H174" s="11">
        <v>8</v>
      </c>
      <c r="I174" s="41"/>
      <c r="J174" s="11">
        <v>8</v>
      </c>
      <c r="K174" s="41"/>
      <c r="L174" s="11">
        <v>8</v>
      </c>
      <c r="M174" s="41"/>
      <c r="N174" s="11">
        <v>8</v>
      </c>
      <c r="O174" s="41"/>
      <c r="P174" s="53">
        <v>10</v>
      </c>
      <c r="Q174" s="41"/>
      <c r="R174" s="57">
        <v>10</v>
      </c>
      <c r="S174" s="41"/>
    </row>
    <row r="175" spans="1:19">
      <c r="A175" s="39"/>
      <c r="B175" s="9" t="s">
        <v>81</v>
      </c>
      <c r="C175" s="10" t="s">
        <v>82</v>
      </c>
      <c r="D175" s="39"/>
      <c r="E175" s="39"/>
      <c r="F175" s="11">
        <v>5</v>
      </c>
      <c r="G175" s="41"/>
      <c r="H175" s="11">
        <v>5</v>
      </c>
      <c r="I175" s="41"/>
      <c r="J175" s="11">
        <v>5</v>
      </c>
      <c r="K175" s="41"/>
      <c r="L175" s="11">
        <v>5</v>
      </c>
      <c r="M175" s="41"/>
      <c r="N175" s="11">
        <v>5</v>
      </c>
      <c r="O175" s="41"/>
      <c r="P175" s="53">
        <v>10</v>
      </c>
      <c r="Q175" s="41"/>
      <c r="R175" s="57">
        <v>10</v>
      </c>
      <c r="S175" s="41"/>
    </row>
    <row r="176" spans="1:19">
      <c r="A176" s="39"/>
      <c r="B176" s="9" t="s">
        <v>83</v>
      </c>
      <c r="C176" s="10" t="s">
        <v>84</v>
      </c>
      <c r="D176" s="39"/>
      <c r="E176" s="39"/>
      <c r="F176" s="11">
        <v>6</v>
      </c>
      <c r="G176" s="41"/>
      <c r="H176" s="11">
        <v>7</v>
      </c>
      <c r="I176" s="41"/>
      <c r="J176" s="11">
        <v>7</v>
      </c>
      <c r="K176" s="41"/>
      <c r="L176" s="11">
        <v>8</v>
      </c>
      <c r="M176" s="41"/>
      <c r="N176" s="11">
        <v>6</v>
      </c>
      <c r="O176" s="41"/>
      <c r="P176" s="53">
        <v>10</v>
      </c>
      <c r="Q176" s="41"/>
      <c r="R176" s="57">
        <v>10</v>
      </c>
      <c r="S176" s="41"/>
    </row>
    <row r="177" spans="1:19">
      <c r="A177" s="39"/>
      <c r="B177" s="9" t="s">
        <v>91</v>
      </c>
      <c r="C177" s="10" t="s">
        <v>86</v>
      </c>
      <c r="D177" s="39"/>
      <c r="E177" s="39"/>
      <c r="F177" s="11">
        <v>6</v>
      </c>
      <c r="G177" s="41"/>
      <c r="H177" s="11">
        <v>6</v>
      </c>
      <c r="I177" s="41"/>
      <c r="J177" s="11">
        <v>6</v>
      </c>
      <c r="K177" s="41"/>
      <c r="L177" s="11">
        <v>6</v>
      </c>
      <c r="M177" s="41"/>
      <c r="N177" s="11">
        <v>6</v>
      </c>
      <c r="O177" s="41"/>
      <c r="P177" s="53">
        <v>10</v>
      </c>
      <c r="Q177" s="41"/>
      <c r="R177" s="57">
        <v>10</v>
      </c>
      <c r="S177" s="41"/>
    </row>
    <row r="178" spans="1:19">
      <c r="A178" s="39"/>
      <c r="B178" s="9" t="s">
        <v>85</v>
      </c>
      <c r="C178" s="10" t="s">
        <v>88</v>
      </c>
      <c r="D178" s="39"/>
      <c r="E178" s="39"/>
      <c r="F178" s="11">
        <v>9</v>
      </c>
      <c r="G178" s="41"/>
      <c r="H178" s="11">
        <v>9</v>
      </c>
      <c r="I178" s="41"/>
      <c r="J178" s="11">
        <v>9</v>
      </c>
      <c r="K178" s="41"/>
      <c r="L178" s="11">
        <v>9</v>
      </c>
      <c r="M178" s="41"/>
      <c r="N178" s="11">
        <v>9</v>
      </c>
      <c r="O178" s="41"/>
      <c r="P178" s="53">
        <v>10</v>
      </c>
      <c r="Q178" s="41"/>
      <c r="R178" s="57">
        <v>10</v>
      </c>
      <c r="S178" s="41"/>
    </row>
    <row r="179" spans="1:19">
      <c r="A179" s="39"/>
      <c r="B179" s="9" t="s">
        <v>87</v>
      </c>
      <c r="C179" s="10" t="s">
        <v>120</v>
      </c>
      <c r="D179" s="39"/>
      <c r="E179" s="39"/>
      <c r="F179" s="11">
        <v>7</v>
      </c>
      <c r="G179" s="41"/>
      <c r="H179" s="11">
        <v>9</v>
      </c>
      <c r="I179" s="41"/>
      <c r="J179" s="11">
        <v>1</v>
      </c>
      <c r="K179" s="41"/>
      <c r="L179" s="11">
        <v>4</v>
      </c>
      <c r="M179" s="41"/>
      <c r="N179" s="11">
        <v>7</v>
      </c>
      <c r="O179" s="41"/>
      <c r="P179" s="53">
        <v>8</v>
      </c>
      <c r="Q179" s="41"/>
      <c r="R179" s="57">
        <v>8</v>
      </c>
      <c r="S179" s="41"/>
    </row>
    <row r="180" spans="1:19">
      <c r="A180" s="39"/>
      <c r="B180" s="9" t="s">
        <v>89</v>
      </c>
      <c r="C180" s="10" t="s">
        <v>90</v>
      </c>
      <c r="D180" s="39"/>
      <c r="E180" s="39"/>
      <c r="F180" s="11">
        <v>9</v>
      </c>
      <c r="G180" s="41"/>
      <c r="H180" s="11">
        <v>2</v>
      </c>
      <c r="I180" s="41"/>
      <c r="J180" s="11">
        <v>1</v>
      </c>
      <c r="K180" s="41"/>
      <c r="L180" s="11">
        <v>8</v>
      </c>
      <c r="M180" s="41"/>
      <c r="N180" s="11">
        <v>2</v>
      </c>
      <c r="O180" s="41"/>
      <c r="P180" s="53">
        <v>10</v>
      </c>
      <c r="Q180" s="41"/>
      <c r="R180" s="57">
        <v>10</v>
      </c>
      <c r="S180" s="41"/>
    </row>
    <row r="181" spans="1:19">
      <c r="A181" s="49"/>
      <c r="B181" s="9" t="s">
        <v>92</v>
      </c>
      <c r="C181" s="10" t="s">
        <v>122</v>
      </c>
      <c r="D181" s="49"/>
      <c r="E181" s="49"/>
      <c r="F181" s="11">
        <v>6</v>
      </c>
      <c r="G181" s="42"/>
      <c r="H181" s="11">
        <v>10</v>
      </c>
      <c r="I181" s="42"/>
      <c r="J181" s="11">
        <v>4</v>
      </c>
      <c r="K181" s="42"/>
      <c r="L181" s="11">
        <v>10</v>
      </c>
      <c r="M181" s="42"/>
      <c r="N181" s="11">
        <v>1</v>
      </c>
      <c r="O181" s="42"/>
      <c r="P181" s="53">
        <v>9</v>
      </c>
      <c r="Q181" s="42"/>
      <c r="R181" s="57">
        <v>9</v>
      </c>
      <c r="S181" s="42"/>
    </row>
    <row r="182" spans="1:19">
      <c r="A182" s="35" t="s">
        <v>74</v>
      </c>
      <c r="B182" s="2" t="s">
        <v>75</v>
      </c>
      <c r="C182" s="3" t="s">
        <v>76</v>
      </c>
      <c r="D182" s="35" t="s">
        <v>24</v>
      </c>
      <c r="E182" s="35" t="s">
        <v>27</v>
      </c>
      <c r="F182" s="4">
        <v>1</v>
      </c>
      <c r="G182" s="32">
        <v>6.7</v>
      </c>
      <c r="H182" s="4">
        <v>1</v>
      </c>
      <c r="I182" s="32">
        <v>6.8</v>
      </c>
      <c r="J182" s="4">
        <v>1</v>
      </c>
      <c r="K182" s="32">
        <v>6.8</v>
      </c>
      <c r="L182" s="4">
        <v>1</v>
      </c>
      <c r="M182" s="32">
        <v>7.7</v>
      </c>
      <c r="N182" s="4">
        <v>1</v>
      </c>
      <c r="O182" s="32">
        <v>7.1</v>
      </c>
      <c r="P182" s="51">
        <v>10</v>
      </c>
      <c r="Q182" s="32">
        <f t="shared" ref="Q182" si="36">SUM(P182:P191)/10</f>
        <v>9.1</v>
      </c>
      <c r="R182" s="55">
        <v>10</v>
      </c>
      <c r="S182" s="32">
        <f t="shared" ref="S182" si="37">SUM(R182:R191)/10</f>
        <v>9.3000000000000007</v>
      </c>
    </row>
    <row r="183" spans="1:19">
      <c r="A183" s="36"/>
      <c r="B183" s="2" t="s">
        <v>77</v>
      </c>
      <c r="C183" s="3" t="s">
        <v>78</v>
      </c>
      <c r="D183" s="36"/>
      <c r="E183" s="36"/>
      <c r="F183" s="4">
        <v>9</v>
      </c>
      <c r="G183" s="33"/>
      <c r="H183" s="4">
        <v>9</v>
      </c>
      <c r="I183" s="33"/>
      <c r="J183" s="4">
        <v>9</v>
      </c>
      <c r="K183" s="33"/>
      <c r="L183" s="4">
        <v>9</v>
      </c>
      <c r="M183" s="33"/>
      <c r="N183" s="4">
        <v>9</v>
      </c>
      <c r="O183" s="33"/>
      <c r="P183" s="51">
        <v>10</v>
      </c>
      <c r="Q183" s="33"/>
      <c r="R183" s="55">
        <v>10</v>
      </c>
      <c r="S183" s="33"/>
    </row>
    <row r="184" spans="1:19">
      <c r="A184" s="36"/>
      <c r="B184" s="2" t="s">
        <v>79</v>
      </c>
      <c r="C184" s="3" t="s">
        <v>80</v>
      </c>
      <c r="D184" s="36"/>
      <c r="E184" s="36"/>
      <c r="F184" s="4">
        <v>8</v>
      </c>
      <c r="G184" s="33"/>
      <c r="H184" s="4">
        <v>7</v>
      </c>
      <c r="I184" s="33"/>
      <c r="J184" s="4">
        <v>8</v>
      </c>
      <c r="K184" s="33"/>
      <c r="L184" s="4">
        <v>8</v>
      </c>
      <c r="M184" s="33"/>
      <c r="N184" s="4">
        <v>7</v>
      </c>
      <c r="O184" s="33"/>
      <c r="P184" s="51">
        <v>6</v>
      </c>
      <c r="Q184" s="33"/>
      <c r="R184" s="55">
        <v>6</v>
      </c>
      <c r="S184" s="33"/>
    </row>
    <row r="185" spans="1:19">
      <c r="A185" s="36"/>
      <c r="B185" s="2" t="s">
        <v>81</v>
      </c>
      <c r="C185" s="3" t="s">
        <v>82</v>
      </c>
      <c r="D185" s="36"/>
      <c r="E185" s="36"/>
      <c r="F185" s="4">
        <v>4</v>
      </c>
      <c r="G185" s="33"/>
      <c r="H185" s="4">
        <v>5</v>
      </c>
      <c r="I185" s="33"/>
      <c r="J185" s="4">
        <v>5</v>
      </c>
      <c r="K185" s="33"/>
      <c r="L185" s="4">
        <v>5</v>
      </c>
      <c r="M185" s="33"/>
      <c r="N185" s="4">
        <v>5</v>
      </c>
      <c r="O185" s="33"/>
      <c r="P185" s="51">
        <v>9</v>
      </c>
      <c r="Q185" s="33"/>
      <c r="R185" s="55">
        <v>9</v>
      </c>
      <c r="S185" s="33"/>
    </row>
    <row r="186" spans="1:19">
      <c r="A186" s="36"/>
      <c r="B186" s="2" t="s">
        <v>83</v>
      </c>
      <c r="C186" s="3" t="s">
        <v>84</v>
      </c>
      <c r="D186" s="36"/>
      <c r="E186" s="36"/>
      <c r="F186" s="4">
        <v>8</v>
      </c>
      <c r="G186" s="33"/>
      <c r="H186" s="4">
        <v>9</v>
      </c>
      <c r="I186" s="33"/>
      <c r="J186" s="4">
        <v>9</v>
      </c>
      <c r="K186" s="33"/>
      <c r="L186" s="4">
        <v>9</v>
      </c>
      <c r="M186" s="33"/>
      <c r="N186" s="4">
        <v>9</v>
      </c>
      <c r="O186" s="33"/>
      <c r="P186" s="51">
        <v>10</v>
      </c>
      <c r="Q186" s="33"/>
      <c r="R186" s="55">
        <v>10</v>
      </c>
      <c r="S186" s="33"/>
    </row>
    <row r="187" spans="1:19">
      <c r="A187" s="36"/>
      <c r="B187" s="2" t="s">
        <v>91</v>
      </c>
      <c r="C187" s="3" t="s">
        <v>86</v>
      </c>
      <c r="D187" s="36"/>
      <c r="E187" s="36"/>
      <c r="F187" s="4">
        <v>8</v>
      </c>
      <c r="G187" s="33"/>
      <c r="H187" s="4">
        <v>8</v>
      </c>
      <c r="I187" s="33"/>
      <c r="J187" s="4">
        <v>7</v>
      </c>
      <c r="K187" s="33"/>
      <c r="L187" s="4">
        <v>7</v>
      </c>
      <c r="M187" s="33"/>
      <c r="N187" s="4">
        <v>7</v>
      </c>
      <c r="O187" s="33"/>
      <c r="P187" s="51">
        <v>10</v>
      </c>
      <c r="Q187" s="33"/>
      <c r="R187" s="55">
        <v>10</v>
      </c>
      <c r="S187" s="33"/>
    </row>
    <row r="188" spans="1:19">
      <c r="A188" s="36"/>
      <c r="B188" s="2" t="s">
        <v>85</v>
      </c>
      <c r="C188" s="3" t="s">
        <v>88</v>
      </c>
      <c r="D188" s="36"/>
      <c r="E188" s="36"/>
      <c r="F188" s="4">
        <v>10</v>
      </c>
      <c r="G188" s="33"/>
      <c r="H188" s="4">
        <v>10</v>
      </c>
      <c r="I188" s="33"/>
      <c r="J188" s="4">
        <v>10</v>
      </c>
      <c r="K188" s="33"/>
      <c r="L188" s="4">
        <v>10</v>
      </c>
      <c r="M188" s="33"/>
      <c r="N188" s="4">
        <v>10</v>
      </c>
      <c r="O188" s="33"/>
      <c r="P188" s="51">
        <v>10</v>
      </c>
      <c r="Q188" s="33"/>
      <c r="R188" s="55">
        <v>10</v>
      </c>
      <c r="S188" s="33"/>
    </row>
    <row r="189" spans="1:19">
      <c r="A189" s="36"/>
      <c r="B189" s="2" t="s">
        <v>87</v>
      </c>
      <c r="C189" s="3" t="s">
        <v>120</v>
      </c>
      <c r="D189" s="36"/>
      <c r="E189" s="36"/>
      <c r="F189" s="4">
        <v>1</v>
      </c>
      <c r="G189" s="33"/>
      <c r="H189" s="4">
        <v>5</v>
      </c>
      <c r="I189" s="33"/>
      <c r="J189" s="4">
        <v>8</v>
      </c>
      <c r="K189" s="33"/>
      <c r="L189" s="4">
        <v>8</v>
      </c>
      <c r="M189" s="33"/>
      <c r="N189" s="4">
        <v>9</v>
      </c>
      <c r="O189" s="33"/>
      <c r="P189" s="51">
        <v>10</v>
      </c>
      <c r="Q189" s="33"/>
      <c r="R189" s="55">
        <v>10</v>
      </c>
      <c r="S189" s="33"/>
    </row>
    <row r="190" spans="1:19">
      <c r="A190" s="36"/>
      <c r="B190" s="2" t="s">
        <v>89</v>
      </c>
      <c r="C190" s="3" t="s">
        <v>90</v>
      </c>
      <c r="D190" s="36"/>
      <c r="E190" s="36"/>
      <c r="F190" s="4">
        <v>9</v>
      </c>
      <c r="G190" s="33"/>
      <c r="H190" s="4">
        <v>5</v>
      </c>
      <c r="I190" s="33"/>
      <c r="J190" s="4">
        <v>6</v>
      </c>
      <c r="K190" s="33"/>
      <c r="L190" s="4">
        <v>10</v>
      </c>
      <c r="M190" s="33"/>
      <c r="N190" s="4">
        <v>6</v>
      </c>
      <c r="O190" s="33"/>
      <c r="P190" s="51">
        <v>8</v>
      </c>
      <c r="Q190" s="33"/>
      <c r="R190" s="55">
        <v>8</v>
      </c>
      <c r="S190" s="33"/>
    </row>
    <row r="191" spans="1:19">
      <c r="A191" s="36"/>
      <c r="B191" s="2" t="s">
        <v>92</v>
      </c>
      <c r="C191" s="3" t="s">
        <v>122</v>
      </c>
      <c r="D191" s="36"/>
      <c r="E191" s="36"/>
      <c r="F191" s="4">
        <v>9</v>
      </c>
      <c r="G191" s="33"/>
      <c r="H191" s="4">
        <v>9</v>
      </c>
      <c r="I191" s="33"/>
      <c r="J191" s="4">
        <v>5</v>
      </c>
      <c r="K191" s="33"/>
      <c r="L191" s="4">
        <v>10</v>
      </c>
      <c r="M191" s="33"/>
      <c r="N191" s="4">
        <v>8</v>
      </c>
      <c r="O191" s="33"/>
      <c r="P191" s="51">
        <v>8</v>
      </c>
      <c r="Q191" s="33"/>
      <c r="R191" s="55">
        <v>10</v>
      </c>
      <c r="S191" s="33"/>
    </row>
    <row r="192" spans="1:19">
      <c r="A192" s="38" t="s">
        <v>74</v>
      </c>
      <c r="B192" s="9" t="s">
        <v>75</v>
      </c>
      <c r="C192" s="10" t="s">
        <v>76</v>
      </c>
      <c r="D192" s="38" t="s">
        <v>24</v>
      </c>
      <c r="E192" s="38" t="s">
        <v>28</v>
      </c>
      <c r="F192" s="11">
        <v>4</v>
      </c>
      <c r="G192" s="40">
        <v>7.5</v>
      </c>
      <c r="H192" s="11">
        <v>3</v>
      </c>
      <c r="I192" s="40">
        <v>6.2</v>
      </c>
      <c r="J192" s="11">
        <v>1</v>
      </c>
      <c r="K192" s="40">
        <v>6.6</v>
      </c>
      <c r="L192" s="11">
        <v>2</v>
      </c>
      <c r="M192" s="40">
        <v>7.5</v>
      </c>
      <c r="N192" s="11">
        <v>3</v>
      </c>
      <c r="O192" s="40">
        <v>7.2</v>
      </c>
      <c r="P192" s="53">
        <v>10</v>
      </c>
      <c r="Q192" s="40">
        <f t="shared" ref="Q192" si="38">SUM(P192:P201)/10</f>
        <v>9.9</v>
      </c>
      <c r="R192" s="57">
        <v>10</v>
      </c>
      <c r="S192" s="40">
        <f t="shared" ref="S192" si="39">SUM(R192:R201)/10</f>
        <v>10</v>
      </c>
    </row>
    <row r="193" spans="1:19">
      <c r="A193" s="39"/>
      <c r="B193" s="9" t="s">
        <v>77</v>
      </c>
      <c r="C193" s="10" t="s">
        <v>78</v>
      </c>
      <c r="D193" s="39"/>
      <c r="E193" s="39"/>
      <c r="F193" s="11">
        <v>10</v>
      </c>
      <c r="G193" s="41"/>
      <c r="H193" s="11">
        <v>10</v>
      </c>
      <c r="I193" s="41"/>
      <c r="J193" s="11">
        <v>10</v>
      </c>
      <c r="K193" s="41"/>
      <c r="L193" s="11">
        <v>10</v>
      </c>
      <c r="M193" s="41"/>
      <c r="N193" s="11">
        <v>10</v>
      </c>
      <c r="O193" s="41"/>
      <c r="P193" s="53">
        <v>9</v>
      </c>
      <c r="Q193" s="41"/>
      <c r="R193" s="57">
        <v>10</v>
      </c>
      <c r="S193" s="41"/>
    </row>
    <row r="194" spans="1:19">
      <c r="A194" s="39"/>
      <c r="B194" s="9" t="s">
        <v>79</v>
      </c>
      <c r="C194" s="10" t="s">
        <v>80</v>
      </c>
      <c r="D194" s="39"/>
      <c r="E194" s="39"/>
      <c r="F194" s="11">
        <v>10</v>
      </c>
      <c r="G194" s="41"/>
      <c r="H194" s="11">
        <v>10</v>
      </c>
      <c r="I194" s="41"/>
      <c r="J194" s="11">
        <v>10</v>
      </c>
      <c r="K194" s="41"/>
      <c r="L194" s="11">
        <v>10</v>
      </c>
      <c r="M194" s="41"/>
      <c r="N194" s="11">
        <v>10</v>
      </c>
      <c r="O194" s="41"/>
      <c r="P194" s="53">
        <v>10</v>
      </c>
      <c r="Q194" s="41"/>
      <c r="R194" s="57">
        <v>10</v>
      </c>
      <c r="S194" s="41"/>
    </row>
    <row r="195" spans="1:19">
      <c r="A195" s="39"/>
      <c r="B195" s="9" t="s">
        <v>81</v>
      </c>
      <c r="C195" s="10" t="s">
        <v>82</v>
      </c>
      <c r="D195" s="39"/>
      <c r="E195" s="39"/>
      <c r="F195" s="11">
        <v>7</v>
      </c>
      <c r="G195" s="41"/>
      <c r="H195" s="11">
        <v>8</v>
      </c>
      <c r="I195" s="41"/>
      <c r="J195" s="11">
        <v>8</v>
      </c>
      <c r="K195" s="41"/>
      <c r="L195" s="11">
        <v>8</v>
      </c>
      <c r="M195" s="41"/>
      <c r="N195" s="11">
        <v>8</v>
      </c>
      <c r="O195" s="41"/>
      <c r="P195" s="53">
        <v>10</v>
      </c>
      <c r="Q195" s="41"/>
      <c r="R195" s="57">
        <v>10</v>
      </c>
      <c r="S195" s="41"/>
    </row>
    <row r="196" spans="1:19">
      <c r="A196" s="39"/>
      <c r="B196" s="9" t="s">
        <v>83</v>
      </c>
      <c r="C196" s="10" t="s">
        <v>84</v>
      </c>
      <c r="D196" s="39"/>
      <c r="E196" s="39"/>
      <c r="F196" s="11">
        <v>6</v>
      </c>
      <c r="G196" s="41"/>
      <c r="H196" s="11">
        <v>7</v>
      </c>
      <c r="I196" s="41"/>
      <c r="J196" s="11">
        <v>7</v>
      </c>
      <c r="K196" s="41"/>
      <c r="L196" s="11">
        <v>8</v>
      </c>
      <c r="M196" s="41"/>
      <c r="N196" s="11">
        <v>7</v>
      </c>
      <c r="O196" s="41"/>
      <c r="P196" s="53">
        <v>10</v>
      </c>
      <c r="Q196" s="41"/>
      <c r="R196" s="57">
        <v>10</v>
      </c>
      <c r="S196" s="41"/>
    </row>
    <row r="197" spans="1:19">
      <c r="A197" s="39"/>
      <c r="B197" s="9" t="s">
        <v>91</v>
      </c>
      <c r="C197" s="10" t="s">
        <v>86</v>
      </c>
      <c r="D197" s="39"/>
      <c r="E197" s="39"/>
      <c r="F197" s="11">
        <v>1</v>
      </c>
      <c r="G197" s="41"/>
      <c r="H197" s="11">
        <v>1</v>
      </c>
      <c r="I197" s="41"/>
      <c r="J197" s="11">
        <v>1</v>
      </c>
      <c r="K197" s="41"/>
      <c r="L197" s="11">
        <v>1</v>
      </c>
      <c r="M197" s="41"/>
      <c r="N197" s="11">
        <v>1</v>
      </c>
      <c r="O197" s="41"/>
      <c r="P197" s="53">
        <v>10</v>
      </c>
      <c r="Q197" s="41"/>
      <c r="R197" s="57">
        <v>10</v>
      </c>
      <c r="S197" s="41"/>
    </row>
    <row r="198" spans="1:19">
      <c r="A198" s="39"/>
      <c r="B198" s="9" t="s">
        <v>85</v>
      </c>
      <c r="C198" s="10" t="s">
        <v>88</v>
      </c>
      <c r="D198" s="39"/>
      <c r="E198" s="39"/>
      <c r="F198" s="11">
        <v>10</v>
      </c>
      <c r="G198" s="41"/>
      <c r="H198" s="11">
        <v>10</v>
      </c>
      <c r="I198" s="41"/>
      <c r="J198" s="11">
        <v>10</v>
      </c>
      <c r="K198" s="41"/>
      <c r="L198" s="11">
        <v>10</v>
      </c>
      <c r="M198" s="41"/>
      <c r="N198" s="11">
        <v>10</v>
      </c>
      <c r="O198" s="41"/>
      <c r="P198" s="53">
        <v>10</v>
      </c>
      <c r="Q198" s="41"/>
      <c r="R198" s="57">
        <v>10</v>
      </c>
      <c r="S198" s="41"/>
    </row>
    <row r="199" spans="1:19">
      <c r="A199" s="39"/>
      <c r="B199" s="9" t="s">
        <v>87</v>
      </c>
      <c r="C199" s="10" t="s">
        <v>120</v>
      </c>
      <c r="D199" s="39"/>
      <c r="E199" s="39"/>
      <c r="F199" s="11">
        <v>10</v>
      </c>
      <c r="G199" s="41"/>
      <c r="H199" s="11">
        <v>1</v>
      </c>
      <c r="I199" s="41"/>
      <c r="J199" s="11">
        <v>4</v>
      </c>
      <c r="K199" s="41"/>
      <c r="L199" s="11">
        <v>6</v>
      </c>
      <c r="M199" s="41"/>
      <c r="N199" s="11">
        <v>7</v>
      </c>
      <c r="O199" s="41"/>
      <c r="P199" s="53">
        <v>10</v>
      </c>
      <c r="Q199" s="41"/>
      <c r="R199" s="57">
        <v>10</v>
      </c>
      <c r="S199" s="41"/>
    </row>
    <row r="200" spans="1:19">
      <c r="A200" s="39"/>
      <c r="B200" s="9" t="s">
        <v>89</v>
      </c>
      <c r="C200" s="10" t="s">
        <v>90</v>
      </c>
      <c r="D200" s="39"/>
      <c r="E200" s="39"/>
      <c r="F200" s="11">
        <v>10</v>
      </c>
      <c r="G200" s="41"/>
      <c r="H200" s="11">
        <v>3</v>
      </c>
      <c r="I200" s="41"/>
      <c r="J200" s="11">
        <v>10</v>
      </c>
      <c r="K200" s="41"/>
      <c r="L200" s="11">
        <v>10</v>
      </c>
      <c r="M200" s="41"/>
      <c r="N200" s="11">
        <v>9</v>
      </c>
      <c r="O200" s="41"/>
      <c r="P200" s="53">
        <v>10</v>
      </c>
      <c r="Q200" s="41"/>
      <c r="R200" s="57">
        <v>10</v>
      </c>
      <c r="S200" s="41"/>
    </row>
    <row r="201" spans="1:19">
      <c r="A201" s="39"/>
      <c r="B201" s="9" t="s">
        <v>92</v>
      </c>
      <c r="C201" s="10" t="s">
        <v>122</v>
      </c>
      <c r="D201" s="39"/>
      <c r="E201" s="39"/>
      <c r="F201" s="11">
        <v>7</v>
      </c>
      <c r="G201" s="41"/>
      <c r="H201" s="11">
        <v>9</v>
      </c>
      <c r="I201" s="41"/>
      <c r="J201" s="11">
        <v>5</v>
      </c>
      <c r="K201" s="41"/>
      <c r="L201" s="11">
        <v>10</v>
      </c>
      <c r="M201" s="41"/>
      <c r="N201" s="11">
        <v>7</v>
      </c>
      <c r="O201" s="41"/>
      <c r="P201" s="53">
        <v>10</v>
      </c>
      <c r="Q201" s="41"/>
      <c r="R201" s="57">
        <v>10</v>
      </c>
      <c r="S201" s="41"/>
    </row>
    <row r="202" spans="1:19">
      <c r="A202" s="35" t="s">
        <v>74</v>
      </c>
      <c r="B202" s="2" t="s">
        <v>75</v>
      </c>
      <c r="C202" s="3" t="s">
        <v>76</v>
      </c>
      <c r="D202" s="35" t="s">
        <v>29</v>
      </c>
      <c r="E202" s="35" t="s">
        <v>30</v>
      </c>
      <c r="F202" s="4">
        <v>6</v>
      </c>
      <c r="G202" s="32">
        <v>6.9</v>
      </c>
      <c r="H202" s="4">
        <v>5</v>
      </c>
      <c r="I202" s="32">
        <v>7</v>
      </c>
      <c r="J202" s="4">
        <v>6</v>
      </c>
      <c r="K202" s="32">
        <v>7.7</v>
      </c>
      <c r="L202" s="4">
        <v>6</v>
      </c>
      <c r="M202" s="32">
        <v>7.9</v>
      </c>
      <c r="N202" s="4">
        <v>7</v>
      </c>
      <c r="O202" s="32">
        <v>7.6</v>
      </c>
      <c r="P202" s="51">
        <v>10</v>
      </c>
      <c r="Q202" s="32">
        <f t="shared" ref="Q202" si="40">SUM(P202:P211)/10</f>
        <v>9</v>
      </c>
      <c r="R202" s="55">
        <v>10</v>
      </c>
      <c r="S202" s="32">
        <f t="shared" ref="S202" si="41">SUM(R202:R211)/10</f>
        <v>9.9</v>
      </c>
    </row>
    <row r="203" spans="1:19">
      <c r="A203" s="36"/>
      <c r="B203" s="2" t="s">
        <v>77</v>
      </c>
      <c r="C203" s="3" t="s">
        <v>78</v>
      </c>
      <c r="D203" s="36"/>
      <c r="E203" s="36"/>
      <c r="F203" s="4">
        <v>9</v>
      </c>
      <c r="G203" s="33"/>
      <c r="H203" s="4">
        <v>9</v>
      </c>
      <c r="I203" s="33"/>
      <c r="J203" s="4">
        <v>9</v>
      </c>
      <c r="K203" s="33"/>
      <c r="L203" s="4">
        <v>9</v>
      </c>
      <c r="M203" s="33"/>
      <c r="N203" s="4">
        <v>9</v>
      </c>
      <c r="O203" s="33"/>
      <c r="P203" s="51">
        <v>10</v>
      </c>
      <c r="Q203" s="33"/>
      <c r="R203" s="55">
        <v>10</v>
      </c>
      <c r="S203" s="33"/>
    </row>
    <row r="204" spans="1:19">
      <c r="A204" s="36"/>
      <c r="B204" s="2" t="s">
        <v>79</v>
      </c>
      <c r="C204" s="3" t="s">
        <v>80</v>
      </c>
      <c r="D204" s="36"/>
      <c r="E204" s="36"/>
      <c r="F204" s="4">
        <v>5</v>
      </c>
      <c r="G204" s="33"/>
      <c r="H204" s="4">
        <v>4</v>
      </c>
      <c r="I204" s="33"/>
      <c r="J204" s="4">
        <v>7</v>
      </c>
      <c r="K204" s="33"/>
      <c r="L204" s="4">
        <v>8</v>
      </c>
      <c r="M204" s="33"/>
      <c r="N204" s="4">
        <v>8</v>
      </c>
      <c r="O204" s="33"/>
      <c r="P204" s="51">
        <v>10</v>
      </c>
      <c r="Q204" s="33"/>
      <c r="R204" s="55">
        <v>10</v>
      </c>
      <c r="S204" s="33"/>
    </row>
    <row r="205" spans="1:19">
      <c r="A205" s="36"/>
      <c r="B205" s="2" t="s">
        <v>81</v>
      </c>
      <c r="C205" s="3" t="s">
        <v>82</v>
      </c>
      <c r="D205" s="36"/>
      <c r="E205" s="36"/>
      <c r="F205" s="4">
        <v>3</v>
      </c>
      <c r="G205" s="33"/>
      <c r="H205" s="4">
        <v>4</v>
      </c>
      <c r="I205" s="33"/>
      <c r="J205" s="4">
        <v>5</v>
      </c>
      <c r="K205" s="33"/>
      <c r="L205" s="4">
        <v>5</v>
      </c>
      <c r="M205" s="33"/>
      <c r="N205" s="4">
        <v>5</v>
      </c>
      <c r="O205" s="33"/>
      <c r="P205" s="51">
        <v>10</v>
      </c>
      <c r="Q205" s="33"/>
      <c r="R205" s="55">
        <v>10</v>
      </c>
      <c r="S205" s="33"/>
    </row>
    <row r="206" spans="1:19">
      <c r="A206" s="36"/>
      <c r="B206" s="2" t="s">
        <v>83</v>
      </c>
      <c r="C206" s="3" t="s">
        <v>84</v>
      </c>
      <c r="D206" s="36"/>
      <c r="E206" s="36"/>
      <c r="F206" s="4">
        <v>3</v>
      </c>
      <c r="G206" s="33"/>
      <c r="H206" s="4">
        <v>4</v>
      </c>
      <c r="I206" s="33"/>
      <c r="J206" s="4">
        <v>5</v>
      </c>
      <c r="K206" s="33"/>
      <c r="L206" s="4">
        <v>5</v>
      </c>
      <c r="M206" s="33"/>
      <c r="N206" s="4">
        <v>1</v>
      </c>
      <c r="O206" s="33"/>
      <c r="P206" s="51">
        <v>10</v>
      </c>
      <c r="Q206" s="33"/>
      <c r="R206" s="55">
        <v>10</v>
      </c>
      <c r="S206" s="33"/>
    </row>
    <row r="207" spans="1:19">
      <c r="A207" s="36"/>
      <c r="B207" s="2" t="s">
        <v>91</v>
      </c>
      <c r="C207" s="3" t="s">
        <v>86</v>
      </c>
      <c r="D207" s="36"/>
      <c r="E207" s="36"/>
      <c r="F207" s="4">
        <v>10</v>
      </c>
      <c r="G207" s="33"/>
      <c r="H207" s="4">
        <v>10</v>
      </c>
      <c r="I207" s="33"/>
      <c r="J207" s="4">
        <v>10</v>
      </c>
      <c r="K207" s="33"/>
      <c r="L207" s="4">
        <v>10</v>
      </c>
      <c r="M207" s="33"/>
      <c r="N207" s="4">
        <v>10</v>
      </c>
      <c r="O207" s="33"/>
      <c r="P207" s="51">
        <v>10</v>
      </c>
      <c r="Q207" s="33"/>
      <c r="R207" s="55">
        <v>10</v>
      </c>
      <c r="S207" s="33"/>
    </row>
    <row r="208" spans="1:19">
      <c r="A208" s="36"/>
      <c r="B208" s="2" t="s">
        <v>85</v>
      </c>
      <c r="C208" s="3" t="s">
        <v>88</v>
      </c>
      <c r="D208" s="36"/>
      <c r="E208" s="36"/>
      <c r="F208" s="4">
        <v>4</v>
      </c>
      <c r="G208" s="33"/>
      <c r="H208" s="4">
        <v>4</v>
      </c>
      <c r="I208" s="33"/>
      <c r="J208" s="4">
        <v>5</v>
      </c>
      <c r="K208" s="33"/>
      <c r="L208" s="4">
        <v>6</v>
      </c>
      <c r="M208" s="33"/>
      <c r="N208" s="4">
        <v>6</v>
      </c>
      <c r="O208" s="33"/>
      <c r="P208" s="51">
        <v>10</v>
      </c>
      <c r="Q208" s="33"/>
      <c r="R208" s="55">
        <v>10</v>
      </c>
      <c r="S208" s="33"/>
    </row>
    <row r="209" spans="1:19">
      <c r="A209" s="36"/>
      <c r="B209" s="2" t="s">
        <v>87</v>
      </c>
      <c r="C209" s="3" t="s">
        <v>120</v>
      </c>
      <c r="D209" s="36"/>
      <c r="E209" s="36"/>
      <c r="F209" s="4">
        <v>10</v>
      </c>
      <c r="G209" s="33"/>
      <c r="H209" s="4">
        <v>10</v>
      </c>
      <c r="I209" s="33"/>
      <c r="J209" s="4">
        <v>10</v>
      </c>
      <c r="K209" s="33"/>
      <c r="L209" s="4">
        <v>10</v>
      </c>
      <c r="M209" s="33"/>
      <c r="N209" s="4">
        <v>10</v>
      </c>
      <c r="O209" s="33"/>
      <c r="P209" s="51">
        <v>9</v>
      </c>
      <c r="Q209" s="33"/>
      <c r="R209" s="55">
        <v>9</v>
      </c>
      <c r="S209" s="33"/>
    </row>
    <row r="210" spans="1:19">
      <c r="A210" s="36"/>
      <c r="B210" s="2" t="s">
        <v>89</v>
      </c>
      <c r="C210" s="3" t="s">
        <v>90</v>
      </c>
      <c r="D210" s="36"/>
      <c r="E210" s="36"/>
      <c r="F210" s="4">
        <v>10</v>
      </c>
      <c r="G210" s="33"/>
      <c r="H210" s="4">
        <v>10</v>
      </c>
      <c r="I210" s="33"/>
      <c r="J210" s="4">
        <v>10</v>
      </c>
      <c r="K210" s="33"/>
      <c r="L210" s="4">
        <v>10</v>
      </c>
      <c r="M210" s="33"/>
      <c r="N210" s="4">
        <v>10</v>
      </c>
      <c r="O210" s="33"/>
      <c r="P210" s="51">
        <v>1</v>
      </c>
      <c r="Q210" s="33"/>
      <c r="R210" s="55">
        <v>10</v>
      </c>
      <c r="S210" s="33"/>
    </row>
    <row r="211" spans="1:19">
      <c r="A211" s="36"/>
      <c r="B211" s="2" t="s">
        <v>92</v>
      </c>
      <c r="C211" s="3" t="s">
        <v>122</v>
      </c>
      <c r="D211" s="36"/>
      <c r="E211" s="36"/>
      <c r="F211" s="4">
        <v>9</v>
      </c>
      <c r="G211" s="33"/>
      <c r="H211" s="4">
        <v>10</v>
      </c>
      <c r="I211" s="33"/>
      <c r="J211" s="4">
        <v>10</v>
      </c>
      <c r="K211" s="33"/>
      <c r="L211" s="4">
        <v>10</v>
      </c>
      <c r="M211" s="33"/>
      <c r="N211" s="4">
        <v>10</v>
      </c>
      <c r="O211" s="33"/>
      <c r="P211" s="51">
        <v>10</v>
      </c>
      <c r="Q211" s="33"/>
      <c r="R211" s="55">
        <v>10</v>
      </c>
      <c r="S211" s="33"/>
    </row>
    <row r="212" spans="1:19">
      <c r="A212" s="38" t="s">
        <v>74</v>
      </c>
      <c r="B212" s="9" t="s">
        <v>75</v>
      </c>
      <c r="C212" s="10" t="s">
        <v>76</v>
      </c>
      <c r="D212" s="38" t="s">
        <v>29</v>
      </c>
      <c r="E212" s="38" t="s">
        <v>31</v>
      </c>
      <c r="F212" s="11">
        <v>6</v>
      </c>
      <c r="G212" s="40">
        <v>8.3000000000000007</v>
      </c>
      <c r="H212" s="11">
        <v>5</v>
      </c>
      <c r="I212" s="40">
        <v>8.4</v>
      </c>
      <c r="J212" s="11">
        <v>1</v>
      </c>
      <c r="K212" s="40">
        <v>7.4</v>
      </c>
      <c r="L212" s="11">
        <v>1</v>
      </c>
      <c r="M212" s="40">
        <v>6.8</v>
      </c>
      <c r="N212" s="11">
        <v>2</v>
      </c>
      <c r="O212" s="40">
        <v>7.6</v>
      </c>
      <c r="P212" s="53">
        <v>10</v>
      </c>
      <c r="Q212" s="40">
        <f t="shared" ref="Q212" si="42">SUM(P212:P221)/10</f>
        <v>9.1999999999999993</v>
      </c>
      <c r="R212" s="57">
        <v>10</v>
      </c>
      <c r="S212" s="40">
        <f t="shared" ref="S212" si="43">SUM(R212:R221)/10</f>
        <v>9.1</v>
      </c>
    </row>
    <row r="213" spans="1:19">
      <c r="A213" s="39"/>
      <c r="B213" s="9" t="s">
        <v>77</v>
      </c>
      <c r="C213" s="10" t="s">
        <v>78</v>
      </c>
      <c r="D213" s="39"/>
      <c r="E213" s="39"/>
      <c r="F213" s="11">
        <v>9</v>
      </c>
      <c r="G213" s="41"/>
      <c r="H213" s="11">
        <v>8</v>
      </c>
      <c r="I213" s="41"/>
      <c r="J213" s="11">
        <v>8</v>
      </c>
      <c r="K213" s="41"/>
      <c r="L213" s="11">
        <v>8</v>
      </c>
      <c r="M213" s="41"/>
      <c r="N213" s="11">
        <v>9</v>
      </c>
      <c r="O213" s="41"/>
      <c r="P213" s="53">
        <v>10</v>
      </c>
      <c r="Q213" s="41"/>
      <c r="R213" s="57">
        <v>10</v>
      </c>
      <c r="S213" s="41"/>
    </row>
    <row r="214" spans="1:19">
      <c r="A214" s="39"/>
      <c r="B214" s="9" t="s">
        <v>79</v>
      </c>
      <c r="C214" s="10" t="s">
        <v>80</v>
      </c>
      <c r="D214" s="39"/>
      <c r="E214" s="39"/>
      <c r="F214" s="11">
        <v>6</v>
      </c>
      <c r="G214" s="41"/>
      <c r="H214" s="11">
        <v>6</v>
      </c>
      <c r="I214" s="41"/>
      <c r="J214" s="11">
        <v>3</v>
      </c>
      <c r="K214" s="41"/>
      <c r="L214" s="11">
        <v>3</v>
      </c>
      <c r="M214" s="41"/>
      <c r="N214" s="11">
        <v>3</v>
      </c>
      <c r="O214" s="41"/>
      <c r="P214" s="53">
        <v>10</v>
      </c>
      <c r="Q214" s="41"/>
      <c r="R214" s="57">
        <v>10</v>
      </c>
      <c r="S214" s="41"/>
    </row>
    <row r="215" spans="1:19">
      <c r="A215" s="39"/>
      <c r="B215" s="9" t="s">
        <v>81</v>
      </c>
      <c r="C215" s="10" t="s">
        <v>82</v>
      </c>
      <c r="D215" s="39"/>
      <c r="E215" s="39"/>
      <c r="F215" s="11">
        <v>5</v>
      </c>
      <c r="G215" s="41"/>
      <c r="H215" s="11">
        <v>6</v>
      </c>
      <c r="I215" s="41"/>
      <c r="J215" s="11">
        <v>4</v>
      </c>
      <c r="K215" s="41"/>
      <c r="L215" s="11">
        <v>4</v>
      </c>
      <c r="M215" s="41"/>
      <c r="N215" s="11">
        <v>4</v>
      </c>
      <c r="O215" s="41"/>
      <c r="P215" s="53">
        <v>10</v>
      </c>
      <c r="Q215" s="41"/>
      <c r="R215" s="57">
        <v>10</v>
      </c>
      <c r="S215" s="41"/>
    </row>
    <row r="216" spans="1:19">
      <c r="A216" s="39"/>
      <c r="B216" s="9" t="s">
        <v>83</v>
      </c>
      <c r="C216" s="10" t="s">
        <v>84</v>
      </c>
      <c r="D216" s="39"/>
      <c r="E216" s="39"/>
      <c r="F216" s="11">
        <v>8</v>
      </c>
      <c r="G216" s="41"/>
      <c r="H216" s="11">
        <v>9</v>
      </c>
      <c r="I216" s="41"/>
      <c r="J216" s="11">
        <v>9</v>
      </c>
      <c r="K216" s="41"/>
      <c r="L216" s="11">
        <v>9</v>
      </c>
      <c r="M216" s="41"/>
      <c r="N216" s="11">
        <v>9</v>
      </c>
      <c r="O216" s="41"/>
      <c r="P216" s="53">
        <v>9</v>
      </c>
      <c r="Q216" s="41"/>
      <c r="R216" s="57">
        <v>10</v>
      </c>
      <c r="S216" s="41"/>
    </row>
    <row r="217" spans="1:19">
      <c r="A217" s="39"/>
      <c r="B217" s="9" t="s">
        <v>91</v>
      </c>
      <c r="C217" s="10" t="s">
        <v>86</v>
      </c>
      <c r="D217" s="39"/>
      <c r="E217" s="39"/>
      <c r="F217" s="11">
        <v>10</v>
      </c>
      <c r="G217" s="41"/>
      <c r="H217" s="11">
        <v>10</v>
      </c>
      <c r="I217" s="41"/>
      <c r="J217" s="11">
        <v>10</v>
      </c>
      <c r="K217" s="41"/>
      <c r="L217" s="11">
        <v>10</v>
      </c>
      <c r="M217" s="41"/>
      <c r="N217" s="11">
        <v>10</v>
      </c>
      <c r="O217" s="41"/>
      <c r="P217" s="53">
        <v>10</v>
      </c>
      <c r="Q217" s="41"/>
      <c r="R217" s="57">
        <v>1</v>
      </c>
      <c r="S217" s="41"/>
    </row>
    <row r="218" spans="1:19">
      <c r="A218" s="39"/>
      <c r="B218" s="9" t="s">
        <v>85</v>
      </c>
      <c r="C218" s="10" t="s">
        <v>88</v>
      </c>
      <c r="D218" s="39"/>
      <c r="E218" s="39"/>
      <c r="F218" s="11">
        <v>10</v>
      </c>
      <c r="G218" s="41"/>
      <c r="H218" s="11">
        <v>10</v>
      </c>
      <c r="I218" s="41"/>
      <c r="J218" s="11">
        <v>9</v>
      </c>
      <c r="K218" s="41"/>
      <c r="L218" s="11">
        <v>9</v>
      </c>
      <c r="M218" s="41"/>
      <c r="N218" s="11">
        <v>9</v>
      </c>
      <c r="O218" s="41"/>
      <c r="P218" s="53">
        <v>8</v>
      </c>
      <c r="Q218" s="41"/>
      <c r="R218" s="57">
        <v>10</v>
      </c>
      <c r="S218" s="41"/>
    </row>
    <row r="219" spans="1:19">
      <c r="A219" s="39"/>
      <c r="B219" s="9" t="s">
        <v>87</v>
      </c>
      <c r="C219" s="10" t="s">
        <v>120</v>
      </c>
      <c r="D219" s="39"/>
      <c r="E219" s="39"/>
      <c r="F219" s="11">
        <v>10</v>
      </c>
      <c r="G219" s="41"/>
      <c r="H219" s="11">
        <v>10</v>
      </c>
      <c r="I219" s="41"/>
      <c r="J219" s="11">
        <v>10</v>
      </c>
      <c r="K219" s="41"/>
      <c r="L219" s="11">
        <v>4</v>
      </c>
      <c r="M219" s="41"/>
      <c r="N219" s="11">
        <v>10</v>
      </c>
      <c r="O219" s="41"/>
      <c r="P219" s="53">
        <v>10</v>
      </c>
      <c r="Q219" s="41"/>
      <c r="R219" s="57">
        <v>10</v>
      </c>
      <c r="S219" s="41"/>
    </row>
    <row r="220" spans="1:19">
      <c r="A220" s="39"/>
      <c r="B220" s="9" t="s">
        <v>89</v>
      </c>
      <c r="C220" s="10" t="s">
        <v>90</v>
      </c>
      <c r="D220" s="39"/>
      <c r="E220" s="39"/>
      <c r="F220" s="11">
        <v>10</v>
      </c>
      <c r="G220" s="41"/>
      <c r="H220" s="11">
        <v>10</v>
      </c>
      <c r="I220" s="41"/>
      <c r="J220" s="11">
        <v>10</v>
      </c>
      <c r="K220" s="41"/>
      <c r="L220" s="11">
        <v>10</v>
      </c>
      <c r="M220" s="41"/>
      <c r="N220" s="11">
        <v>10</v>
      </c>
      <c r="O220" s="41"/>
      <c r="P220" s="53">
        <v>5</v>
      </c>
      <c r="Q220" s="41"/>
      <c r="R220" s="57">
        <v>10</v>
      </c>
      <c r="S220" s="41"/>
    </row>
    <row r="221" spans="1:19">
      <c r="A221" s="39"/>
      <c r="B221" s="9" t="s">
        <v>92</v>
      </c>
      <c r="C221" s="10" t="s">
        <v>122</v>
      </c>
      <c r="D221" s="39"/>
      <c r="E221" s="39"/>
      <c r="F221" s="11">
        <v>9</v>
      </c>
      <c r="G221" s="41"/>
      <c r="H221" s="11">
        <v>10</v>
      </c>
      <c r="I221" s="41"/>
      <c r="J221" s="11">
        <v>10</v>
      </c>
      <c r="K221" s="41"/>
      <c r="L221" s="11">
        <v>10</v>
      </c>
      <c r="M221" s="41"/>
      <c r="N221" s="11">
        <v>10</v>
      </c>
      <c r="O221" s="41"/>
      <c r="P221" s="53">
        <v>10</v>
      </c>
      <c r="Q221" s="41"/>
      <c r="R221" s="57">
        <v>10</v>
      </c>
      <c r="S221" s="41"/>
    </row>
    <row r="222" spans="1:19">
      <c r="A222" s="35" t="s">
        <v>74</v>
      </c>
      <c r="B222" s="2" t="s">
        <v>75</v>
      </c>
      <c r="C222" s="3" t="s">
        <v>76</v>
      </c>
      <c r="D222" s="35" t="s">
        <v>29</v>
      </c>
      <c r="E222" s="35" t="s">
        <v>32</v>
      </c>
      <c r="F222" s="4">
        <v>7</v>
      </c>
      <c r="G222" s="32">
        <v>8.3000000000000007</v>
      </c>
      <c r="H222" s="4">
        <v>6</v>
      </c>
      <c r="I222" s="32">
        <v>8.5</v>
      </c>
      <c r="J222" s="4">
        <v>5</v>
      </c>
      <c r="K222" s="32">
        <v>8.5</v>
      </c>
      <c r="L222" s="4">
        <v>5</v>
      </c>
      <c r="M222" s="32">
        <v>8.6</v>
      </c>
      <c r="N222" s="4">
        <v>6</v>
      </c>
      <c r="O222" s="32">
        <v>8.6</v>
      </c>
      <c r="P222" s="51">
        <v>10</v>
      </c>
      <c r="Q222" s="32">
        <f t="shared" ref="Q222" si="44">SUM(P222:P231)/10</f>
        <v>9.5</v>
      </c>
      <c r="R222" s="55">
        <v>10</v>
      </c>
      <c r="S222" s="32">
        <f t="shared" ref="S222" si="45">SUM(R222:R231)/10</f>
        <v>10</v>
      </c>
    </row>
    <row r="223" spans="1:19">
      <c r="A223" s="36"/>
      <c r="B223" s="2" t="s">
        <v>77</v>
      </c>
      <c r="C223" s="3" t="s">
        <v>78</v>
      </c>
      <c r="D223" s="36"/>
      <c r="E223" s="36"/>
      <c r="F223" s="4">
        <v>8</v>
      </c>
      <c r="G223" s="33"/>
      <c r="H223" s="4">
        <v>9</v>
      </c>
      <c r="I223" s="33"/>
      <c r="J223" s="4">
        <v>9</v>
      </c>
      <c r="K223" s="33"/>
      <c r="L223" s="4">
        <v>9</v>
      </c>
      <c r="M223" s="33"/>
      <c r="N223" s="4">
        <v>9</v>
      </c>
      <c r="O223" s="33"/>
      <c r="P223" s="51">
        <v>10</v>
      </c>
      <c r="Q223" s="33"/>
      <c r="R223" s="55">
        <v>10</v>
      </c>
      <c r="S223" s="33"/>
    </row>
    <row r="224" spans="1:19">
      <c r="A224" s="36"/>
      <c r="B224" s="2" t="s">
        <v>79</v>
      </c>
      <c r="C224" s="3" t="s">
        <v>80</v>
      </c>
      <c r="D224" s="36"/>
      <c r="E224" s="36"/>
      <c r="F224" s="4">
        <v>5</v>
      </c>
      <c r="G224" s="33"/>
      <c r="H224" s="4">
        <v>6</v>
      </c>
      <c r="I224" s="33"/>
      <c r="J224" s="4">
        <v>7</v>
      </c>
      <c r="K224" s="33"/>
      <c r="L224" s="4">
        <v>7</v>
      </c>
      <c r="M224" s="33"/>
      <c r="N224" s="4">
        <v>7</v>
      </c>
      <c r="O224" s="33"/>
      <c r="P224" s="51">
        <v>10</v>
      </c>
      <c r="Q224" s="33"/>
      <c r="R224" s="55">
        <v>10</v>
      </c>
      <c r="S224" s="33"/>
    </row>
    <row r="225" spans="1:19">
      <c r="A225" s="36"/>
      <c r="B225" s="2" t="s">
        <v>81</v>
      </c>
      <c r="C225" s="3" t="s">
        <v>82</v>
      </c>
      <c r="D225" s="36"/>
      <c r="E225" s="36"/>
      <c r="F225" s="4">
        <v>6</v>
      </c>
      <c r="G225" s="33"/>
      <c r="H225" s="4">
        <v>6</v>
      </c>
      <c r="I225" s="33"/>
      <c r="J225" s="4">
        <v>6</v>
      </c>
      <c r="K225" s="33"/>
      <c r="L225" s="4">
        <v>6</v>
      </c>
      <c r="M225" s="33"/>
      <c r="N225" s="4">
        <v>6</v>
      </c>
      <c r="O225" s="33"/>
      <c r="P225" s="51">
        <v>8</v>
      </c>
      <c r="Q225" s="33"/>
      <c r="R225" s="55">
        <v>10</v>
      </c>
      <c r="S225" s="33"/>
    </row>
    <row r="226" spans="1:19">
      <c r="A226" s="36"/>
      <c r="B226" s="2" t="s">
        <v>83</v>
      </c>
      <c r="C226" s="3" t="s">
        <v>84</v>
      </c>
      <c r="D226" s="36"/>
      <c r="E226" s="36"/>
      <c r="F226" s="4">
        <v>8</v>
      </c>
      <c r="G226" s="33"/>
      <c r="H226" s="4">
        <v>9</v>
      </c>
      <c r="I226" s="33"/>
      <c r="J226" s="4">
        <v>8</v>
      </c>
      <c r="K226" s="33"/>
      <c r="L226" s="4">
        <v>9</v>
      </c>
      <c r="M226" s="33"/>
      <c r="N226" s="4">
        <v>8</v>
      </c>
      <c r="O226" s="33"/>
      <c r="P226" s="51">
        <v>10</v>
      </c>
      <c r="Q226" s="33"/>
      <c r="R226" s="55">
        <v>10</v>
      </c>
      <c r="S226" s="33"/>
    </row>
    <row r="227" spans="1:19">
      <c r="A227" s="36"/>
      <c r="B227" s="2" t="s">
        <v>91</v>
      </c>
      <c r="C227" s="3" t="s">
        <v>86</v>
      </c>
      <c r="D227" s="36"/>
      <c r="E227" s="36"/>
      <c r="F227" s="4">
        <v>10</v>
      </c>
      <c r="G227" s="33"/>
      <c r="H227" s="4">
        <v>9</v>
      </c>
      <c r="I227" s="33"/>
      <c r="J227" s="4">
        <v>10</v>
      </c>
      <c r="K227" s="33"/>
      <c r="L227" s="4">
        <v>10</v>
      </c>
      <c r="M227" s="33"/>
      <c r="N227" s="4">
        <v>10</v>
      </c>
      <c r="O227" s="33"/>
      <c r="P227" s="51">
        <v>10</v>
      </c>
      <c r="Q227" s="33"/>
      <c r="R227" s="55">
        <v>10</v>
      </c>
      <c r="S227" s="33"/>
    </row>
    <row r="228" spans="1:19">
      <c r="A228" s="36"/>
      <c r="B228" s="2" t="s">
        <v>85</v>
      </c>
      <c r="C228" s="3" t="s">
        <v>88</v>
      </c>
      <c r="D228" s="36"/>
      <c r="E228" s="36"/>
      <c r="F228" s="4">
        <v>10</v>
      </c>
      <c r="G228" s="33"/>
      <c r="H228" s="4">
        <v>10</v>
      </c>
      <c r="I228" s="33"/>
      <c r="J228" s="4">
        <v>10</v>
      </c>
      <c r="K228" s="33"/>
      <c r="L228" s="4">
        <v>10</v>
      </c>
      <c r="M228" s="33"/>
      <c r="N228" s="4">
        <v>10</v>
      </c>
      <c r="O228" s="33"/>
      <c r="P228" s="51">
        <v>10</v>
      </c>
      <c r="Q228" s="33"/>
      <c r="R228" s="55">
        <v>10</v>
      </c>
      <c r="S228" s="33"/>
    </row>
    <row r="229" spans="1:19">
      <c r="A229" s="36"/>
      <c r="B229" s="2" t="s">
        <v>87</v>
      </c>
      <c r="C229" s="3" t="s">
        <v>120</v>
      </c>
      <c r="D229" s="36"/>
      <c r="E229" s="36"/>
      <c r="F229" s="4">
        <v>10</v>
      </c>
      <c r="G229" s="33"/>
      <c r="H229" s="4">
        <v>10</v>
      </c>
      <c r="I229" s="33"/>
      <c r="J229" s="4">
        <v>10</v>
      </c>
      <c r="K229" s="33"/>
      <c r="L229" s="4">
        <v>10</v>
      </c>
      <c r="M229" s="33"/>
      <c r="N229" s="4">
        <v>10</v>
      </c>
      <c r="O229" s="33"/>
      <c r="P229" s="51">
        <v>10</v>
      </c>
      <c r="Q229" s="33"/>
      <c r="R229" s="55">
        <v>10</v>
      </c>
      <c r="S229" s="33"/>
    </row>
    <row r="230" spans="1:19">
      <c r="A230" s="36"/>
      <c r="B230" s="2" t="s">
        <v>89</v>
      </c>
      <c r="C230" s="3" t="s">
        <v>90</v>
      </c>
      <c r="D230" s="36"/>
      <c r="E230" s="36"/>
      <c r="F230" s="4">
        <v>10</v>
      </c>
      <c r="G230" s="33"/>
      <c r="H230" s="4">
        <v>10</v>
      </c>
      <c r="I230" s="33"/>
      <c r="J230" s="4">
        <v>10</v>
      </c>
      <c r="K230" s="33"/>
      <c r="L230" s="4">
        <v>10</v>
      </c>
      <c r="M230" s="33"/>
      <c r="N230" s="4">
        <v>10</v>
      </c>
      <c r="O230" s="33"/>
      <c r="P230" s="51">
        <v>9</v>
      </c>
      <c r="Q230" s="33"/>
      <c r="R230" s="55">
        <v>10</v>
      </c>
      <c r="S230" s="33"/>
    </row>
    <row r="231" spans="1:19">
      <c r="A231" s="36"/>
      <c r="B231" s="2" t="s">
        <v>92</v>
      </c>
      <c r="C231" s="3" t="s">
        <v>122</v>
      </c>
      <c r="D231" s="36"/>
      <c r="E231" s="36"/>
      <c r="F231" s="4">
        <v>9</v>
      </c>
      <c r="G231" s="33"/>
      <c r="H231" s="4">
        <v>10</v>
      </c>
      <c r="I231" s="33"/>
      <c r="J231" s="4">
        <v>10</v>
      </c>
      <c r="K231" s="33"/>
      <c r="L231" s="4">
        <v>10</v>
      </c>
      <c r="M231" s="33"/>
      <c r="N231" s="4">
        <v>10</v>
      </c>
      <c r="O231" s="33"/>
      <c r="P231" s="51">
        <v>8</v>
      </c>
      <c r="Q231" s="33"/>
      <c r="R231" s="55">
        <v>10</v>
      </c>
      <c r="S231" s="33"/>
    </row>
    <row r="232" spans="1:19">
      <c r="A232" s="38" t="s">
        <v>74</v>
      </c>
      <c r="B232" s="9" t="s">
        <v>75</v>
      </c>
      <c r="C232" s="10" t="s">
        <v>76</v>
      </c>
      <c r="D232" s="38" t="s">
        <v>29</v>
      </c>
      <c r="E232" s="38" t="s">
        <v>33</v>
      </c>
      <c r="F232" s="11">
        <v>6</v>
      </c>
      <c r="G232" s="40">
        <v>9.6</v>
      </c>
      <c r="H232" s="11">
        <v>4</v>
      </c>
      <c r="I232" s="40">
        <v>8.5</v>
      </c>
      <c r="J232" s="11">
        <v>4</v>
      </c>
      <c r="K232" s="40">
        <v>9.4</v>
      </c>
      <c r="L232" s="11">
        <v>4</v>
      </c>
      <c r="M232" s="40">
        <v>9.4</v>
      </c>
      <c r="N232" s="11">
        <v>4</v>
      </c>
      <c r="O232" s="40">
        <v>9.4</v>
      </c>
      <c r="P232" s="53">
        <v>10</v>
      </c>
      <c r="Q232" s="40">
        <f t="shared" ref="Q232" si="46">SUM(P232:P241)/10</f>
        <v>9.6999999999999993</v>
      </c>
      <c r="R232" s="57">
        <v>10</v>
      </c>
      <c r="S232" s="40">
        <f t="shared" ref="S232" si="47">SUM(R232:R241)/10</f>
        <v>10</v>
      </c>
    </row>
    <row r="233" spans="1:19">
      <c r="A233" s="39"/>
      <c r="B233" s="9" t="s">
        <v>77</v>
      </c>
      <c r="C233" s="10" t="s">
        <v>78</v>
      </c>
      <c r="D233" s="39"/>
      <c r="E233" s="39"/>
      <c r="F233" s="11">
        <v>10</v>
      </c>
      <c r="G233" s="41"/>
      <c r="H233" s="11">
        <v>10</v>
      </c>
      <c r="I233" s="41"/>
      <c r="J233" s="11">
        <v>10</v>
      </c>
      <c r="K233" s="41"/>
      <c r="L233" s="11">
        <v>10</v>
      </c>
      <c r="M233" s="41"/>
      <c r="N233" s="11">
        <v>10</v>
      </c>
      <c r="O233" s="41"/>
      <c r="P233" s="53">
        <v>9</v>
      </c>
      <c r="Q233" s="41"/>
      <c r="R233" s="57">
        <v>10</v>
      </c>
      <c r="S233" s="41"/>
    </row>
    <row r="234" spans="1:19">
      <c r="A234" s="39"/>
      <c r="B234" s="9" t="s">
        <v>79</v>
      </c>
      <c r="C234" s="10" t="s">
        <v>80</v>
      </c>
      <c r="D234" s="39"/>
      <c r="E234" s="39"/>
      <c r="F234" s="11">
        <v>10</v>
      </c>
      <c r="G234" s="41"/>
      <c r="H234" s="11">
        <v>1</v>
      </c>
      <c r="I234" s="41"/>
      <c r="J234" s="11">
        <v>10</v>
      </c>
      <c r="K234" s="41"/>
      <c r="L234" s="11">
        <v>10</v>
      </c>
      <c r="M234" s="41"/>
      <c r="N234" s="11">
        <v>10</v>
      </c>
      <c r="O234" s="41"/>
      <c r="P234" s="53">
        <v>10</v>
      </c>
      <c r="Q234" s="41"/>
      <c r="R234" s="57">
        <v>10</v>
      </c>
      <c r="S234" s="41"/>
    </row>
    <row r="235" spans="1:19">
      <c r="A235" s="39"/>
      <c r="B235" s="9" t="s">
        <v>81</v>
      </c>
      <c r="C235" s="10" t="s">
        <v>82</v>
      </c>
      <c r="D235" s="39"/>
      <c r="E235" s="39"/>
      <c r="F235" s="11">
        <v>10</v>
      </c>
      <c r="G235" s="41"/>
      <c r="H235" s="11">
        <v>10</v>
      </c>
      <c r="I235" s="41"/>
      <c r="J235" s="11">
        <v>10</v>
      </c>
      <c r="K235" s="41"/>
      <c r="L235" s="11">
        <v>10</v>
      </c>
      <c r="M235" s="41"/>
      <c r="N235" s="11">
        <v>10</v>
      </c>
      <c r="O235" s="41"/>
      <c r="P235" s="53">
        <v>9</v>
      </c>
      <c r="Q235" s="41"/>
      <c r="R235" s="57">
        <v>10</v>
      </c>
      <c r="S235" s="41"/>
    </row>
    <row r="236" spans="1:19">
      <c r="A236" s="39"/>
      <c r="B236" s="9" t="s">
        <v>83</v>
      </c>
      <c r="C236" s="10" t="s">
        <v>84</v>
      </c>
      <c r="D236" s="39"/>
      <c r="E236" s="39"/>
      <c r="F236" s="11">
        <v>10</v>
      </c>
      <c r="G236" s="41"/>
      <c r="H236" s="11">
        <v>10</v>
      </c>
      <c r="I236" s="41"/>
      <c r="J236" s="11">
        <v>10</v>
      </c>
      <c r="K236" s="41"/>
      <c r="L236" s="11">
        <v>10</v>
      </c>
      <c r="M236" s="41"/>
      <c r="N236" s="11">
        <v>10</v>
      </c>
      <c r="O236" s="41"/>
      <c r="P236" s="53">
        <v>9</v>
      </c>
      <c r="Q236" s="41"/>
      <c r="R236" s="57">
        <v>10</v>
      </c>
      <c r="S236" s="41"/>
    </row>
    <row r="237" spans="1:19">
      <c r="A237" s="39"/>
      <c r="B237" s="9" t="s">
        <v>91</v>
      </c>
      <c r="C237" s="10" t="s">
        <v>86</v>
      </c>
      <c r="D237" s="39"/>
      <c r="E237" s="39"/>
      <c r="F237" s="11">
        <v>10</v>
      </c>
      <c r="G237" s="41"/>
      <c r="H237" s="11">
        <v>10</v>
      </c>
      <c r="I237" s="41"/>
      <c r="J237" s="11">
        <v>10</v>
      </c>
      <c r="K237" s="41"/>
      <c r="L237" s="11">
        <v>10</v>
      </c>
      <c r="M237" s="41"/>
      <c r="N237" s="11">
        <v>10</v>
      </c>
      <c r="O237" s="41"/>
      <c r="P237" s="53">
        <v>10</v>
      </c>
      <c r="Q237" s="41"/>
      <c r="R237" s="57">
        <v>10</v>
      </c>
      <c r="S237" s="41"/>
    </row>
    <row r="238" spans="1:19">
      <c r="A238" s="39"/>
      <c r="B238" s="9" t="s">
        <v>85</v>
      </c>
      <c r="C238" s="10" t="s">
        <v>88</v>
      </c>
      <c r="D238" s="39"/>
      <c r="E238" s="39"/>
      <c r="F238" s="11">
        <v>10</v>
      </c>
      <c r="G238" s="41"/>
      <c r="H238" s="11">
        <v>10</v>
      </c>
      <c r="I238" s="41"/>
      <c r="J238" s="11">
        <v>10</v>
      </c>
      <c r="K238" s="41"/>
      <c r="L238" s="11">
        <v>10</v>
      </c>
      <c r="M238" s="41"/>
      <c r="N238" s="11">
        <v>10</v>
      </c>
      <c r="O238" s="41"/>
      <c r="P238" s="53">
        <v>10</v>
      </c>
      <c r="Q238" s="41"/>
      <c r="R238" s="57">
        <v>10</v>
      </c>
      <c r="S238" s="41"/>
    </row>
    <row r="239" spans="1:19">
      <c r="A239" s="39"/>
      <c r="B239" s="9" t="s">
        <v>87</v>
      </c>
      <c r="C239" s="10" t="s">
        <v>120</v>
      </c>
      <c r="D239" s="39"/>
      <c r="E239" s="39"/>
      <c r="F239" s="11">
        <v>10</v>
      </c>
      <c r="G239" s="41"/>
      <c r="H239" s="11">
        <v>10</v>
      </c>
      <c r="I239" s="41"/>
      <c r="J239" s="11">
        <v>10</v>
      </c>
      <c r="K239" s="41"/>
      <c r="L239" s="11">
        <v>10</v>
      </c>
      <c r="M239" s="41"/>
      <c r="N239" s="11">
        <v>10</v>
      </c>
      <c r="O239" s="41"/>
      <c r="P239" s="53">
        <v>10</v>
      </c>
      <c r="Q239" s="41"/>
      <c r="R239" s="57">
        <v>10</v>
      </c>
      <c r="S239" s="41"/>
    </row>
    <row r="240" spans="1:19">
      <c r="A240" s="39"/>
      <c r="B240" s="9" t="s">
        <v>89</v>
      </c>
      <c r="C240" s="10" t="s">
        <v>90</v>
      </c>
      <c r="D240" s="39"/>
      <c r="E240" s="39"/>
      <c r="F240" s="11">
        <v>10</v>
      </c>
      <c r="G240" s="41"/>
      <c r="H240" s="11">
        <v>10</v>
      </c>
      <c r="I240" s="41"/>
      <c r="J240" s="11">
        <v>10</v>
      </c>
      <c r="K240" s="41"/>
      <c r="L240" s="11">
        <v>10</v>
      </c>
      <c r="M240" s="41"/>
      <c r="N240" s="11">
        <v>10</v>
      </c>
      <c r="O240" s="41"/>
      <c r="P240" s="53">
        <v>10</v>
      </c>
      <c r="Q240" s="41"/>
      <c r="R240" s="57">
        <v>10</v>
      </c>
      <c r="S240" s="41"/>
    </row>
    <row r="241" spans="1:19">
      <c r="A241" s="39"/>
      <c r="B241" s="9" t="s">
        <v>92</v>
      </c>
      <c r="C241" s="10" t="s">
        <v>122</v>
      </c>
      <c r="D241" s="39"/>
      <c r="E241" s="39"/>
      <c r="F241" s="11">
        <v>10</v>
      </c>
      <c r="G241" s="41"/>
      <c r="H241" s="11">
        <v>10</v>
      </c>
      <c r="I241" s="41"/>
      <c r="J241" s="11">
        <v>10</v>
      </c>
      <c r="K241" s="41"/>
      <c r="L241" s="11">
        <v>10</v>
      </c>
      <c r="M241" s="41"/>
      <c r="N241" s="11">
        <v>10</v>
      </c>
      <c r="O241" s="41"/>
      <c r="P241" s="53">
        <v>10</v>
      </c>
      <c r="Q241" s="41"/>
      <c r="R241" s="57">
        <v>10</v>
      </c>
      <c r="S241" s="41"/>
    </row>
    <row r="242" spans="1:19">
      <c r="A242" s="35" t="s">
        <v>74</v>
      </c>
      <c r="B242" s="2" t="s">
        <v>75</v>
      </c>
      <c r="C242" s="3" t="s">
        <v>76</v>
      </c>
      <c r="D242" s="35" t="s">
        <v>34</v>
      </c>
      <c r="E242" s="35" t="s">
        <v>35</v>
      </c>
      <c r="F242" s="4">
        <v>6</v>
      </c>
      <c r="G242" s="32">
        <v>8.9</v>
      </c>
      <c r="H242" s="4">
        <v>5</v>
      </c>
      <c r="I242" s="32">
        <v>9</v>
      </c>
      <c r="J242" s="4">
        <v>5</v>
      </c>
      <c r="K242" s="32">
        <v>9.1</v>
      </c>
      <c r="L242" s="4">
        <v>5</v>
      </c>
      <c r="M242" s="32">
        <v>9</v>
      </c>
      <c r="N242" s="4">
        <v>6</v>
      </c>
      <c r="O242" s="32">
        <v>9.1</v>
      </c>
      <c r="P242" s="51">
        <v>9</v>
      </c>
      <c r="Q242" s="32">
        <f t="shared" ref="Q242" si="48">SUM(P242:P251)/10</f>
        <v>8.3000000000000007</v>
      </c>
      <c r="R242" s="55">
        <v>10</v>
      </c>
      <c r="S242" s="32">
        <f t="shared" ref="S242" si="49">SUM(R242:R251)/10</f>
        <v>9.9</v>
      </c>
    </row>
    <row r="243" spans="1:19">
      <c r="A243" s="36"/>
      <c r="B243" s="2" t="s">
        <v>77</v>
      </c>
      <c r="C243" s="3" t="s">
        <v>78</v>
      </c>
      <c r="D243" s="36"/>
      <c r="E243" s="36"/>
      <c r="F243" s="4">
        <v>10</v>
      </c>
      <c r="G243" s="33"/>
      <c r="H243" s="4">
        <v>10</v>
      </c>
      <c r="I243" s="33"/>
      <c r="J243" s="4">
        <v>10</v>
      </c>
      <c r="K243" s="33"/>
      <c r="L243" s="4">
        <v>10</v>
      </c>
      <c r="M243" s="33"/>
      <c r="N243" s="4">
        <v>10</v>
      </c>
      <c r="O243" s="33"/>
      <c r="P243" s="51">
        <v>4</v>
      </c>
      <c r="Q243" s="33"/>
      <c r="R243" s="55">
        <v>10</v>
      </c>
      <c r="S243" s="33"/>
    </row>
    <row r="244" spans="1:19">
      <c r="A244" s="36"/>
      <c r="B244" s="2" t="s">
        <v>79</v>
      </c>
      <c r="C244" s="3" t="s">
        <v>80</v>
      </c>
      <c r="D244" s="36"/>
      <c r="E244" s="36"/>
      <c r="F244" s="4">
        <v>8</v>
      </c>
      <c r="G244" s="33"/>
      <c r="H244" s="4">
        <v>9</v>
      </c>
      <c r="I244" s="33"/>
      <c r="J244" s="4">
        <v>9</v>
      </c>
      <c r="K244" s="33"/>
      <c r="L244" s="4">
        <v>9</v>
      </c>
      <c r="M244" s="33"/>
      <c r="N244" s="4">
        <v>9</v>
      </c>
      <c r="O244" s="33"/>
      <c r="P244" s="51">
        <v>1</v>
      </c>
      <c r="Q244" s="33"/>
      <c r="R244" s="55">
        <v>10</v>
      </c>
      <c r="S244" s="33"/>
    </row>
    <row r="245" spans="1:19">
      <c r="A245" s="36"/>
      <c r="B245" s="2" t="s">
        <v>81</v>
      </c>
      <c r="C245" s="3" t="s">
        <v>82</v>
      </c>
      <c r="D245" s="36"/>
      <c r="E245" s="36"/>
      <c r="F245" s="4">
        <v>9</v>
      </c>
      <c r="G245" s="33"/>
      <c r="H245" s="4">
        <v>9</v>
      </c>
      <c r="I245" s="33"/>
      <c r="J245" s="4">
        <v>9</v>
      </c>
      <c r="K245" s="33"/>
      <c r="L245" s="4">
        <v>9</v>
      </c>
      <c r="M245" s="33"/>
      <c r="N245" s="4">
        <v>9</v>
      </c>
      <c r="O245" s="33"/>
      <c r="P245" s="51">
        <v>10</v>
      </c>
      <c r="Q245" s="33"/>
      <c r="R245" s="55">
        <v>10</v>
      </c>
      <c r="S245" s="33"/>
    </row>
    <row r="246" spans="1:19">
      <c r="A246" s="36"/>
      <c r="B246" s="2" t="s">
        <v>83</v>
      </c>
      <c r="C246" s="3" t="s">
        <v>84</v>
      </c>
      <c r="D246" s="36"/>
      <c r="E246" s="36"/>
      <c r="F246" s="4">
        <v>8</v>
      </c>
      <c r="G246" s="33"/>
      <c r="H246" s="4">
        <v>9</v>
      </c>
      <c r="I246" s="33"/>
      <c r="J246" s="4">
        <v>9</v>
      </c>
      <c r="K246" s="33"/>
      <c r="L246" s="4">
        <v>9</v>
      </c>
      <c r="M246" s="33"/>
      <c r="N246" s="4">
        <v>9</v>
      </c>
      <c r="O246" s="33"/>
      <c r="P246" s="51">
        <v>10</v>
      </c>
      <c r="Q246" s="33"/>
      <c r="R246" s="55">
        <v>10</v>
      </c>
      <c r="S246" s="33"/>
    </row>
    <row r="247" spans="1:19">
      <c r="A247" s="36"/>
      <c r="B247" s="2" t="s">
        <v>91</v>
      </c>
      <c r="C247" s="3" t="s">
        <v>86</v>
      </c>
      <c r="D247" s="36"/>
      <c r="E247" s="36"/>
      <c r="F247" s="4">
        <v>8</v>
      </c>
      <c r="G247" s="33"/>
      <c r="H247" s="4">
        <v>8</v>
      </c>
      <c r="I247" s="33"/>
      <c r="J247" s="4">
        <v>9</v>
      </c>
      <c r="K247" s="33"/>
      <c r="L247" s="4">
        <v>8</v>
      </c>
      <c r="M247" s="33"/>
      <c r="N247" s="4">
        <v>8</v>
      </c>
      <c r="O247" s="33"/>
      <c r="P247" s="51">
        <v>9</v>
      </c>
      <c r="Q247" s="33"/>
      <c r="R247" s="55">
        <v>10</v>
      </c>
      <c r="S247" s="33"/>
    </row>
    <row r="248" spans="1:19">
      <c r="A248" s="36"/>
      <c r="B248" s="2" t="s">
        <v>85</v>
      </c>
      <c r="C248" s="3" t="s">
        <v>88</v>
      </c>
      <c r="D248" s="36"/>
      <c r="E248" s="36"/>
      <c r="F248" s="4">
        <v>10</v>
      </c>
      <c r="G248" s="33"/>
      <c r="H248" s="4">
        <v>10</v>
      </c>
      <c r="I248" s="33"/>
      <c r="J248" s="4">
        <v>10</v>
      </c>
      <c r="K248" s="33"/>
      <c r="L248" s="4">
        <v>10</v>
      </c>
      <c r="M248" s="33"/>
      <c r="N248" s="4">
        <v>10</v>
      </c>
      <c r="O248" s="33"/>
      <c r="P248" s="51">
        <v>10</v>
      </c>
      <c r="Q248" s="33"/>
      <c r="R248" s="55">
        <v>10</v>
      </c>
      <c r="S248" s="33"/>
    </row>
    <row r="249" spans="1:19">
      <c r="A249" s="36"/>
      <c r="B249" s="2" t="s">
        <v>87</v>
      </c>
      <c r="C249" s="3" t="s">
        <v>120</v>
      </c>
      <c r="D249" s="36"/>
      <c r="E249" s="36"/>
      <c r="F249" s="4">
        <v>10</v>
      </c>
      <c r="G249" s="33"/>
      <c r="H249" s="4">
        <v>10</v>
      </c>
      <c r="I249" s="33"/>
      <c r="J249" s="4">
        <v>10</v>
      </c>
      <c r="K249" s="33"/>
      <c r="L249" s="4">
        <v>10</v>
      </c>
      <c r="M249" s="33"/>
      <c r="N249" s="4">
        <v>10</v>
      </c>
      <c r="O249" s="33"/>
      <c r="P249" s="51">
        <v>10</v>
      </c>
      <c r="Q249" s="33"/>
      <c r="R249" s="55">
        <v>10</v>
      </c>
      <c r="S249" s="33"/>
    </row>
    <row r="250" spans="1:19">
      <c r="A250" s="36"/>
      <c r="B250" s="2" t="s">
        <v>89</v>
      </c>
      <c r="C250" s="3" t="s">
        <v>90</v>
      </c>
      <c r="D250" s="36"/>
      <c r="E250" s="36"/>
      <c r="F250" s="4">
        <v>10</v>
      </c>
      <c r="G250" s="33"/>
      <c r="H250" s="4">
        <v>10</v>
      </c>
      <c r="I250" s="33"/>
      <c r="J250" s="4">
        <v>10</v>
      </c>
      <c r="K250" s="33"/>
      <c r="L250" s="4">
        <v>10</v>
      </c>
      <c r="M250" s="33"/>
      <c r="N250" s="4">
        <v>10</v>
      </c>
      <c r="O250" s="33"/>
      <c r="P250" s="51">
        <v>10</v>
      </c>
      <c r="Q250" s="33"/>
      <c r="R250" s="55">
        <v>9</v>
      </c>
      <c r="S250" s="33"/>
    </row>
    <row r="251" spans="1:19">
      <c r="A251" s="36"/>
      <c r="B251" s="2" t="s">
        <v>92</v>
      </c>
      <c r="C251" s="3" t="s">
        <v>122</v>
      </c>
      <c r="D251" s="36"/>
      <c r="E251" s="36"/>
      <c r="F251" s="4">
        <v>10</v>
      </c>
      <c r="G251" s="33"/>
      <c r="H251" s="4">
        <v>10</v>
      </c>
      <c r="I251" s="33"/>
      <c r="J251" s="4">
        <v>10</v>
      </c>
      <c r="K251" s="33"/>
      <c r="L251" s="4">
        <v>10</v>
      </c>
      <c r="M251" s="33"/>
      <c r="N251" s="4">
        <v>10</v>
      </c>
      <c r="O251" s="33"/>
      <c r="P251" s="51">
        <v>10</v>
      </c>
      <c r="Q251" s="33"/>
      <c r="R251" s="55">
        <v>10</v>
      </c>
      <c r="S251" s="33"/>
    </row>
    <row r="252" spans="1:19">
      <c r="A252" s="38" t="s">
        <v>74</v>
      </c>
      <c r="B252" s="9" t="s">
        <v>75</v>
      </c>
      <c r="C252" s="10" t="s">
        <v>76</v>
      </c>
      <c r="D252" s="38" t="s">
        <v>34</v>
      </c>
      <c r="E252" s="38" t="s">
        <v>36</v>
      </c>
      <c r="F252" s="11">
        <v>5</v>
      </c>
      <c r="G252" s="40">
        <v>6.2</v>
      </c>
      <c r="H252" s="11">
        <v>4</v>
      </c>
      <c r="I252" s="40">
        <v>7.1</v>
      </c>
      <c r="J252" s="11">
        <v>3</v>
      </c>
      <c r="K252" s="40">
        <v>7</v>
      </c>
      <c r="L252" s="11">
        <v>3</v>
      </c>
      <c r="M252" s="40">
        <v>7.3</v>
      </c>
      <c r="N252" s="11">
        <v>4</v>
      </c>
      <c r="O252" s="40">
        <v>6.225911407999777</v>
      </c>
      <c r="P252" s="53">
        <v>9</v>
      </c>
      <c r="Q252" s="40">
        <f t="shared" ref="Q252" si="50">SUM(P252:P261)/10</f>
        <v>9.6</v>
      </c>
      <c r="R252" s="57">
        <v>10</v>
      </c>
      <c r="S252" s="40">
        <f t="shared" ref="S252" si="51">SUM(R252:R261)/10</f>
        <v>10</v>
      </c>
    </row>
    <row r="253" spans="1:19">
      <c r="A253" s="39"/>
      <c r="B253" s="9" t="s">
        <v>77</v>
      </c>
      <c r="C253" s="10" t="s">
        <v>78</v>
      </c>
      <c r="D253" s="39"/>
      <c r="E253" s="39"/>
      <c r="F253" s="11">
        <v>9</v>
      </c>
      <c r="G253" s="41"/>
      <c r="H253" s="11">
        <v>9</v>
      </c>
      <c r="I253" s="41"/>
      <c r="J253" s="11">
        <v>9</v>
      </c>
      <c r="K253" s="41"/>
      <c r="L253" s="11">
        <v>9</v>
      </c>
      <c r="M253" s="41"/>
      <c r="N253" s="11">
        <v>10</v>
      </c>
      <c r="O253" s="41"/>
      <c r="P253" s="53">
        <v>10</v>
      </c>
      <c r="Q253" s="41"/>
      <c r="R253" s="57">
        <v>10</v>
      </c>
      <c r="S253" s="41"/>
    </row>
    <row r="254" spans="1:19">
      <c r="A254" s="39"/>
      <c r="B254" s="9" t="s">
        <v>79</v>
      </c>
      <c r="C254" s="10" t="s">
        <v>80</v>
      </c>
      <c r="D254" s="39"/>
      <c r="E254" s="39"/>
      <c r="F254" s="11">
        <v>3</v>
      </c>
      <c r="G254" s="41"/>
      <c r="H254" s="11">
        <v>3</v>
      </c>
      <c r="I254" s="41"/>
      <c r="J254" s="11">
        <v>3</v>
      </c>
      <c r="K254" s="41"/>
      <c r="L254" s="11">
        <v>3</v>
      </c>
      <c r="M254" s="41"/>
      <c r="N254" s="11">
        <v>4</v>
      </c>
      <c r="O254" s="41"/>
      <c r="P254" s="53">
        <v>10</v>
      </c>
      <c r="Q254" s="41"/>
      <c r="R254" s="57">
        <v>10</v>
      </c>
      <c r="S254" s="41"/>
    </row>
    <row r="255" spans="1:19">
      <c r="A255" s="39"/>
      <c r="B255" s="9" t="s">
        <v>81</v>
      </c>
      <c r="C255" s="10" t="s">
        <v>82</v>
      </c>
      <c r="D255" s="39"/>
      <c r="E255" s="39"/>
      <c r="F255" s="11">
        <v>3</v>
      </c>
      <c r="G255" s="41"/>
      <c r="H255" s="11">
        <v>3</v>
      </c>
      <c r="I255" s="41"/>
      <c r="J255" s="11">
        <v>3</v>
      </c>
      <c r="K255" s="41"/>
      <c r="L255" s="11">
        <v>3</v>
      </c>
      <c r="M255" s="41"/>
      <c r="N255" s="11">
        <v>0.25911407999777109</v>
      </c>
      <c r="O255" s="41"/>
      <c r="P255" s="53">
        <v>10</v>
      </c>
      <c r="Q255" s="41"/>
      <c r="R255" s="57">
        <v>10</v>
      </c>
      <c r="S255" s="41"/>
    </row>
    <row r="256" spans="1:19">
      <c r="A256" s="39"/>
      <c r="B256" s="9" t="s">
        <v>83</v>
      </c>
      <c r="C256" s="10" t="s">
        <v>84</v>
      </c>
      <c r="D256" s="39"/>
      <c r="E256" s="39"/>
      <c r="F256" s="11">
        <v>8</v>
      </c>
      <c r="G256" s="41"/>
      <c r="H256" s="11">
        <v>9</v>
      </c>
      <c r="I256" s="41"/>
      <c r="J256" s="11">
        <v>9</v>
      </c>
      <c r="K256" s="41"/>
      <c r="L256" s="11">
        <v>9</v>
      </c>
      <c r="M256" s="41"/>
      <c r="N256" s="11">
        <v>9</v>
      </c>
      <c r="O256" s="41"/>
      <c r="P256" s="53">
        <v>9</v>
      </c>
      <c r="Q256" s="41"/>
      <c r="R256" s="57">
        <v>10</v>
      </c>
      <c r="S256" s="41"/>
    </row>
    <row r="257" spans="1:19">
      <c r="A257" s="39"/>
      <c r="B257" s="9" t="s">
        <v>91</v>
      </c>
      <c r="C257" s="10" t="s">
        <v>86</v>
      </c>
      <c r="D257" s="39"/>
      <c r="E257" s="39"/>
      <c r="F257" s="11">
        <v>9</v>
      </c>
      <c r="G257" s="41"/>
      <c r="H257" s="11">
        <v>9</v>
      </c>
      <c r="I257" s="41"/>
      <c r="J257" s="11">
        <v>9</v>
      </c>
      <c r="K257" s="41"/>
      <c r="L257" s="11">
        <v>9</v>
      </c>
      <c r="M257" s="41"/>
      <c r="N257" s="11">
        <v>9</v>
      </c>
      <c r="O257" s="41"/>
      <c r="P257" s="53">
        <v>10</v>
      </c>
      <c r="Q257" s="41"/>
      <c r="R257" s="57">
        <v>10</v>
      </c>
      <c r="S257" s="41"/>
    </row>
    <row r="258" spans="1:19">
      <c r="A258" s="39"/>
      <c r="B258" s="9" t="s">
        <v>85</v>
      </c>
      <c r="C258" s="10" t="s">
        <v>88</v>
      </c>
      <c r="D258" s="39"/>
      <c r="E258" s="39"/>
      <c r="F258" s="11">
        <v>10</v>
      </c>
      <c r="G258" s="41"/>
      <c r="H258" s="11">
        <v>10</v>
      </c>
      <c r="I258" s="41"/>
      <c r="J258" s="11">
        <v>10</v>
      </c>
      <c r="K258" s="41"/>
      <c r="L258" s="11">
        <v>10</v>
      </c>
      <c r="M258" s="41"/>
      <c r="N258" s="11">
        <v>10</v>
      </c>
      <c r="O258" s="41"/>
      <c r="P258" s="53">
        <v>9</v>
      </c>
      <c r="Q258" s="41"/>
      <c r="R258" s="57">
        <v>10</v>
      </c>
      <c r="S258" s="41"/>
    </row>
    <row r="259" spans="1:19">
      <c r="A259" s="39"/>
      <c r="B259" s="9" t="s">
        <v>87</v>
      </c>
      <c r="C259" s="10" t="s">
        <v>120</v>
      </c>
      <c r="D259" s="39"/>
      <c r="E259" s="39"/>
      <c r="F259" s="11">
        <v>6</v>
      </c>
      <c r="G259" s="41"/>
      <c r="H259" s="11">
        <v>7</v>
      </c>
      <c r="I259" s="41"/>
      <c r="J259" s="11">
        <v>6</v>
      </c>
      <c r="K259" s="41"/>
      <c r="L259" s="11">
        <v>7</v>
      </c>
      <c r="M259" s="41"/>
      <c r="N259" s="11">
        <v>9</v>
      </c>
      <c r="O259" s="41"/>
      <c r="P259" s="53">
        <v>10</v>
      </c>
      <c r="Q259" s="41"/>
      <c r="R259" s="57">
        <v>10</v>
      </c>
      <c r="S259" s="41"/>
    </row>
    <row r="260" spans="1:19">
      <c r="A260" s="39"/>
      <c r="B260" s="9" t="s">
        <v>89</v>
      </c>
      <c r="C260" s="10" t="s">
        <v>90</v>
      </c>
      <c r="D260" s="39"/>
      <c r="E260" s="39"/>
      <c r="F260" s="11">
        <v>7</v>
      </c>
      <c r="G260" s="41"/>
      <c r="H260" s="11">
        <v>8</v>
      </c>
      <c r="I260" s="41"/>
      <c r="J260" s="11">
        <v>9</v>
      </c>
      <c r="K260" s="41"/>
      <c r="L260" s="11">
        <v>10</v>
      </c>
      <c r="M260" s="41"/>
      <c r="N260" s="11">
        <v>7</v>
      </c>
      <c r="O260" s="41"/>
      <c r="P260" s="53">
        <v>9</v>
      </c>
      <c r="Q260" s="41"/>
      <c r="R260" s="57">
        <v>10</v>
      </c>
      <c r="S260" s="41"/>
    </row>
    <row r="261" spans="1:19">
      <c r="A261" s="39"/>
      <c r="B261" s="9" t="s">
        <v>92</v>
      </c>
      <c r="C261" s="10" t="s">
        <v>122</v>
      </c>
      <c r="D261" s="39"/>
      <c r="E261" s="39"/>
      <c r="F261" s="11">
        <v>2</v>
      </c>
      <c r="G261" s="41"/>
      <c r="H261" s="11">
        <v>9</v>
      </c>
      <c r="I261" s="41"/>
      <c r="J261" s="11">
        <v>9</v>
      </c>
      <c r="K261" s="41"/>
      <c r="L261" s="11">
        <v>10</v>
      </c>
      <c r="M261" s="41"/>
      <c r="N261" s="11">
        <v>0</v>
      </c>
      <c r="O261" s="41"/>
      <c r="P261" s="53">
        <v>10</v>
      </c>
      <c r="Q261" s="41"/>
      <c r="R261" s="57">
        <v>10</v>
      </c>
      <c r="S261" s="41"/>
    </row>
    <row r="262" spans="1:19">
      <c r="A262" s="35" t="s">
        <v>74</v>
      </c>
      <c r="B262" s="2" t="s">
        <v>75</v>
      </c>
      <c r="C262" s="3" t="s">
        <v>76</v>
      </c>
      <c r="D262" s="35" t="s">
        <v>34</v>
      </c>
      <c r="E262" s="35" t="s">
        <v>37</v>
      </c>
      <c r="F262" s="4">
        <v>6</v>
      </c>
      <c r="G262" s="32">
        <v>7.1</v>
      </c>
      <c r="H262" s="4">
        <v>5</v>
      </c>
      <c r="I262" s="32">
        <v>6.8</v>
      </c>
      <c r="J262" s="4">
        <v>5</v>
      </c>
      <c r="K262" s="32">
        <v>7.2</v>
      </c>
      <c r="L262" s="4">
        <v>5</v>
      </c>
      <c r="M262" s="32">
        <v>7.4</v>
      </c>
      <c r="N262" s="4">
        <v>5</v>
      </c>
      <c r="O262" s="32">
        <v>7.4</v>
      </c>
      <c r="P262" s="51">
        <v>7</v>
      </c>
      <c r="Q262" s="32">
        <f>SUM(P262:P271)/10</f>
        <v>7.6</v>
      </c>
      <c r="R262" s="55">
        <v>10</v>
      </c>
      <c r="S262" s="32">
        <f>SUM(R262:R271)/10</f>
        <v>9</v>
      </c>
    </row>
    <row r="263" spans="1:19">
      <c r="A263" s="36"/>
      <c r="B263" s="2" t="s">
        <v>77</v>
      </c>
      <c r="C263" s="3" t="s">
        <v>78</v>
      </c>
      <c r="D263" s="36"/>
      <c r="E263" s="36"/>
      <c r="F263" s="4">
        <v>9</v>
      </c>
      <c r="G263" s="33"/>
      <c r="H263" s="4">
        <v>9</v>
      </c>
      <c r="I263" s="33"/>
      <c r="J263" s="4">
        <v>9</v>
      </c>
      <c r="K263" s="33"/>
      <c r="L263" s="4">
        <v>9</v>
      </c>
      <c r="M263" s="33"/>
      <c r="N263" s="4">
        <v>9</v>
      </c>
      <c r="O263" s="33"/>
      <c r="P263" s="51">
        <v>10</v>
      </c>
      <c r="Q263" s="33"/>
      <c r="R263" s="55">
        <v>9</v>
      </c>
      <c r="S263" s="33"/>
    </row>
    <row r="264" spans="1:19">
      <c r="A264" s="36"/>
      <c r="B264" s="2" t="s">
        <v>79</v>
      </c>
      <c r="C264" s="3" t="s">
        <v>80</v>
      </c>
      <c r="D264" s="36"/>
      <c r="E264" s="36"/>
      <c r="F264" s="4">
        <v>4</v>
      </c>
      <c r="G264" s="33"/>
      <c r="H264" s="4">
        <v>4</v>
      </c>
      <c r="I264" s="33"/>
      <c r="J264" s="4">
        <v>4</v>
      </c>
      <c r="K264" s="33"/>
      <c r="L264" s="4">
        <v>4</v>
      </c>
      <c r="M264" s="33"/>
      <c r="N264" s="4">
        <v>4</v>
      </c>
      <c r="O264" s="33"/>
      <c r="P264" s="51">
        <v>7</v>
      </c>
      <c r="Q264" s="33"/>
      <c r="R264" s="55">
        <v>10</v>
      </c>
      <c r="S264" s="33"/>
    </row>
    <row r="265" spans="1:19">
      <c r="A265" s="36"/>
      <c r="B265" s="2" t="s">
        <v>81</v>
      </c>
      <c r="C265" s="3" t="s">
        <v>82</v>
      </c>
      <c r="D265" s="36"/>
      <c r="E265" s="36"/>
      <c r="F265" s="4">
        <v>3</v>
      </c>
      <c r="G265" s="33"/>
      <c r="H265" s="4">
        <v>3</v>
      </c>
      <c r="I265" s="33"/>
      <c r="J265" s="4">
        <v>3</v>
      </c>
      <c r="K265" s="33"/>
      <c r="L265" s="4">
        <v>3</v>
      </c>
      <c r="M265" s="33"/>
      <c r="N265" s="4">
        <v>3</v>
      </c>
      <c r="O265" s="33"/>
      <c r="P265" s="51">
        <v>10</v>
      </c>
      <c r="Q265" s="33"/>
      <c r="R265" s="55">
        <v>10</v>
      </c>
      <c r="S265" s="33"/>
    </row>
    <row r="266" spans="1:19">
      <c r="A266" s="36"/>
      <c r="B266" s="2" t="s">
        <v>83</v>
      </c>
      <c r="C266" s="3" t="s">
        <v>84</v>
      </c>
      <c r="D266" s="36"/>
      <c r="E266" s="36"/>
      <c r="F266" s="4">
        <v>7</v>
      </c>
      <c r="G266" s="33"/>
      <c r="H266" s="4">
        <v>8</v>
      </c>
      <c r="I266" s="33"/>
      <c r="J266" s="4">
        <v>8</v>
      </c>
      <c r="K266" s="33"/>
      <c r="L266" s="4">
        <v>8</v>
      </c>
      <c r="M266" s="33"/>
      <c r="N266" s="4">
        <v>8</v>
      </c>
      <c r="O266" s="33"/>
      <c r="P266" s="51">
        <v>10</v>
      </c>
      <c r="Q266" s="33"/>
      <c r="R266" s="55">
        <v>10</v>
      </c>
      <c r="S266" s="33"/>
    </row>
    <row r="267" spans="1:19">
      <c r="A267" s="36"/>
      <c r="B267" s="2" t="s">
        <v>91</v>
      </c>
      <c r="C267" s="3" t="s">
        <v>86</v>
      </c>
      <c r="D267" s="36"/>
      <c r="E267" s="36"/>
      <c r="F267" s="4">
        <v>7</v>
      </c>
      <c r="G267" s="33"/>
      <c r="H267" s="4">
        <v>7</v>
      </c>
      <c r="I267" s="33"/>
      <c r="J267" s="4">
        <v>8</v>
      </c>
      <c r="K267" s="33"/>
      <c r="L267" s="4">
        <v>7</v>
      </c>
      <c r="M267" s="33"/>
      <c r="N267" s="4">
        <v>7</v>
      </c>
      <c r="O267" s="33"/>
      <c r="P267" s="51">
        <v>10</v>
      </c>
      <c r="Q267" s="33"/>
      <c r="R267" s="55">
        <v>10</v>
      </c>
      <c r="S267" s="33"/>
    </row>
    <row r="268" spans="1:19">
      <c r="A268" s="36"/>
      <c r="B268" s="2" t="s">
        <v>85</v>
      </c>
      <c r="C268" s="3" t="s">
        <v>88</v>
      </c>
      <c r="D268" s="36"/>
      <c r="E268" s="36"/>
      <c r="F268" s="4">
        <v>8</v>
      </c>
      <c r="G268" s="33"/>
      <c r="H268" s="4">
        <v>7</v>
      </c>
      <c r="I268" s="33"/>
      <c r="J268" s="4">
        <v>7</v>
      </c>
      <c r="K268" s="33"/>
      <c r="L268" s="4">
        <v>8</v>
      </c>
      <c r="M268" s="33"/>
      <c r="N268" s="4">
        <v>8</v>
      </c>
      <c r="O268" s="33"/>
      <c r="P268" s="51">
        <v>10</v>
      </c>
      <c r="Q268" s="33"/>
      <c r="R268" s="55">
        <v>10</v>
      </c>
      <c r="S268" s="33"/>
    </row>
    <row r="269" spans="1:19">
      <c r="A269" s="36"/>
      <c r="B269" s="2" t="s">
        <v>87</v>
      </c>
      <c r="C269" s="3" t="s">
        <v>120</v>
      </c>
      <c r="D269" s="36"/>
      <c r="E269" s="36"/>
      <c r="F269" s="4">
        <v>9</v>
      </c>
      <c r="G269" s="33"/>
      <c r="H269" s="4">
        <v>8</v>
      </c>
      <c r="I269" s="33"/>
      <c r="J269" s="4">
        <v>10</v>
      </c>
      <c r="K269" s="33"/>
      <c r="L269" s="4">
        <v>10</v>
      </c>
      <c r="M269" s="33"/>
      <c r="N269" s="4">
        <v>10</v>
      </c>
      <c r="O269" s="33"/>
      <c r="P269" s="51">
        <v>9</v>
      </c>
      <c r="Q269" s="33"/>
      <c r="R269" s="55">
        <v>10</v>
      </c>
      <c r="S269" s="33"/>
    </row>
    <row r="270" spans="1:19">
      <c r="A270" s="36"/>
      <c r="B270" s="2" t="s">
        <v>89</v>
      </c>
      <c r="C270" s="3" t="s">
        <v>90</v>
      </c>
      <c r="D270" s="36"/>
      <c r="E270" s="36"/>
      <c r="F270" s="4">
        <v>9</v>
      </c>
      <c r="G270" s="33"/>
      <c r="H270" s="4">
        <v>8</v>
      </c>
      <c r="I270" s="33"/>
      <c r="J270" s="4">
        <v>8</v>
      </c>
      <c r="K270" s="33"/>
      <c r="L270" s="4">
        <v>10</v>
      </c>
      <c r="M270" s="33"/>
      <c r="N270" s="4">
        <v>10</v>
      </c>
      <c r="O270" s="33"/>
      <c r="P270" s="51">
        <v>2</v>
      </c>
      <c r="Q270" s="33"/>
      <c r="R270" s="55">
        <v>10</v>
      </c>
      <c r="S270" s="33"/>
    </row>
    <row r="271" spans="1:19">
      <c r="A271" s="37"/>
      <c r="B271" s="2" t="s">
        <v>92</v>
      </c>
      <c r="C271" s="3" t="s">
        <v>122</v>
      </c>
      <c r="D271" s="37"/>
      <c r="E271" s="37"/>
      <c r="F271" s="4">
        <v>9</v>
      </c>
      <c r="G271" s="34"/>
      <c r="H271" s="4">
        <v>9</v>
      </c>
      <c r="I271" s="34"/>
      <c r="J271" s="4">
        <v>10</v>
      </c>
      <c r="K271" s="34"/>
      <c r="L271" s="4">
        <v>10</v>
      </c>
      <c r="M271" s="34"/>
      <c r="N271" s="4">
        <v>10</v>
      </c>
      <c r="O271" s="34"/>
      <c r="P271" s="51">
        <v>1</v>
      </c>
      <c r="Q271" s="34"/>
      <c r="R271" s="55">
        <v>1</v>
      </c>
      <c r="S271" s="34"/>
    </row>
  </sheetData>
  <autoFilter ref="A1:O271" xr:uid="{AB49C291-3894-457F-8B21-BD7253D933A7}"/>
  <mergeCells count="270">
    <mergeCell ref="S182:S191"/>
    <mergeCell ref="S192:S201"/>
    <mergeCell ref="S202:S211"/>
    <mergeCell ref="S212:S221"/>
    <mergeCell ref="S222:S231"/>
    <mergeCell ref="S232:S241"/>
    <mergeCell ref="S242:S251"/>
    <mergeCell ref="S252:S261"/>
    <mergeCell ref="S262:S271"/>
    <mergeCell ref="S92:S101"/>
    <mergeCell ref="S102:S111"/>
    <mergeCell ref="S112:S121"/>
    <mergeCell ref="S122:S131"/>
    <mergeCell ref="S132:S141"/>
    <mergeCell ref="S142:S151"/>
    <mergeCell ref="S152:S161"/>
    <mergeCell ref="S162:S171"/>
    <mergeCell ref="S172:S181"/>
    <mergeCell ref="S2:S11"/>
    <mergeCell ref="S12:S21"/>
    <mergeCell ref="S22:S31"/>
    <mergeCell ref="S32:S41"/>
    <mergeCell ref="S42:S51"/>
    <mergeCell ref="S52:S61"/>
    <mergeCell ref="S62:S71"/>
    <mergeCell ref="S72:S81"/>
    <mergeCell ref="S82:S91"/>
    <mergeCell ref="Q182:Q191"/>
    <mergeCell ref="Q192:Q201"/>
    <mergeCell ref="Q202:Q211"/>
    <mergeCell ref="Q212:Q221"/>
    <mergeCell ref="Q222:Q231"/>
    <mergeCell ref="Q232:Q241"/>
    <mergeCell ref="Q242:Q251"/>
    <mergeCell ref="Q252:Q261"/>
    <mergeCell ref="Q262:Q271"/>
    <mergeCell ref="Q92:Q101"/>
    <mergeCell ref="Q102:Q111"/>
    <mergeCell ref="Q112:Q121"/>
    <mergeCell ref="Q122:Q131"/>
    <mergeCell ref="Q132:Q141"/>
    <mergeCell ref="Q142:Q151"/>
    <mergeCell ref="Q152:Q161"/>
    <mergeCell ref="Q162:Q171"/>
    <mergeCell ref="Q172:Q181"/>
    <mergeCell ref="Q2:Q11"/>
    <mergeCell ref="Q12:Q21"/>
    <mergeCell ref="Q22:Q31"/>
    <mergeCell ref="Q32:Q41"/>
    <mergeCell ref="Q42:Q51"/>
    <mergeCell ref="Q52:Q61"/>
    <mergeCell ref="Q62:Q71"/>
    <mergeCell ref="Q72:Q81"/>
    <mergeCell ref="Q82:Q91"/>
    <mergeCell ref="M2:M11"/>
    <mergeCell ref="O2:O11"/>
    <mergeCell ref="A12:A21"/>
    <mergeCell ref="D12:D21"/>
    <mergeCell ref="E12:E21"/>
    <mergeCell ref="G12:G21"/>
    <mergeCell ref="I12:I21"/>
    <mergeCell ref="K12:K21"/>
    <mergeCell ref="M12:M21"/>
    <mergeCell ref="O12:O21"/>
    <mergeCell ref="A2:A11"/>
    <mergeCell ref="D2:D11"/>
    <mergeCell ref="E2:E11"/>
    <mergeCell ref="G2:G11"/>
    <mergeCell ref="I2:I11"/>
    <mergeCell ref="K2:K11"/>
    <mergeCell ref="M22:M31"/>
    <mergeCell ref="O22:O31"/>
    <mergeCell ref="A32:A41"/>
    <mergeCell ref="D32:D41"/>
    <mergeCell ref="E32:E41"/>
    <mergeCell ref="G32:G41"/>
    <mergeCell ref="I32:I41"/>
    <mergeCell ref="K32:K41"/>
    <mergeCell ref="M32:M41"/>
    <mergeCell ref="O32:O41"/>
    <mergeCell ref="A22:A31"/>
    <mergeCell ref="D22:D31"/>
    <mergeCell ref="E22:E31"/>
    <mergeCell ref="G22:G31"/>
    <mergeCell ref="I22:I31"/>
    <mergeCell ref="K22:K31"/>
    <mergeCell ref="M42:M51"/>
    <mergeCell ref="O42:O51"/>
    <mergeCell ref="A52:A61"/>
    <mergeCell ref="D52:D61"/>
    <mergeCell ref="E52:E61"/>
    <mergeCell ref="G52:G61"/>
    <mergeCell ref="I52:I61"/>
    <mergeCell ref="K52:K61"/>
    <mergeCell ref="M52:M61"/>
    <mergeCell ref="O52:O61"/>
    <mergeCell ref="A42:A51"/>
    <mergeCell ref="D42:D51"/>
    <mergeCell ref="E42:E51"/>
    <mergeCell ref="G42:G51"/>
    <mergeCell ref="I42:I51"/>
    <mergeCell ref="K42:K51"/>
    <mergeCell ref="M62:M71"/>
    <mergeCell ref="O62:O71"/>
    <mergeCell ref="A72:A81"/>
    <mergeCell ref="D72:D81"/>
    <mergeCell ref="E72:E81"/>
    <mergeCell ref="G72:G81"/>
    <mergeCell ref="I72:I81"/>
    <mergeCell ref="K72:K81"/>
    <mergeCell ref="M72:M81"/>
    <mergeCell ref="O72:O81"/>
    <mergeCell ref="A62:A71"/>
    <mergeCell ref="D62:D71"/>
    <mergeCell ref="E62:E71"/>
    <mergeCell ref="G62:G71"/>
    <mergeCell ref="I62:I71"/>
    <mergeCell ref="K62:K71"/>
    <mergeCell ref="M82:M91"/>
    <mergeCell ref="O82:O91"/>
    <mergeCell ref="A92:A101"/>
    <mergeCell ref="D92:D101"/>
    <mergeCell ref="E92:E101"/>
    <mergeCell ref="G92:G101"/>
    <mergeCell ref="I92:I101"/>
    <mergeCell ref="K92:K101"/>
    <mergeCell ref="M92:M101"/>
    <mergeCell ref="O92:O101"/>
    <mergeCell ref="A82:A91"/>
    <mergeCell ref="D82:D91"/>
    <mergeCell ref="E82:E91"/>
    <mergeCell ref="G82:G91"/>
    <mergeCell ref="I82:I91"/>
    <mergeCell ref="K82:K91"/>
    <mergeCell ref="M102:M111"/>
    <mergeCell ref="O102:O111"/>
    <mergeCell ref="A112:A121"/>
    <mergeCell ref="D112:D121"/>
    <mergeCell ref="E112:E121"/>
    <mergeCell ref="G112:G121"/>
    <mergeCell ref="I112:I121"/>
    <mergeCell ref="K112:K121"/>
    <mergeCell ref="M112:M121"/>
    <mergeCell ref="O112:O121"/>
    <mergeCell ref="A102:A111"/>
    <mergeCell ref="D102:D111"/>
    <mergeCell ref="E102:E111"/>
    <mergeCell ref="G102:G111"/>
    <mergeCell ref="I102:I111"/>
    <mergeCell ref="K102:K111"/>
    <mergeCell ref="M122:M131"/>
    <mergeCell ref="O122:O131"/>
    <mergeCell ref="A132:A141"/>
    <mergeCell ref="D132:D141"/>
    <mergeCell ref="E132:E141"/>
    <mergeCell ref="G132:G141"/>
    <mergeCell ref="I132:I141"/>
    <mergeCell ref="K132:K141"/>
    <mergeCell ref="M132:M141"/>
    <mergeCell ref="O132:O141"/>
    <mergeCell ref="A122:A131"/>
    <mergeCell ref="D122:D131"/>
    <mergeCell ref="E122:E131"/>
    <mergeCell ref="G122:G131"/>
    <mergeCell ref="I122:I131"/>
    <mergeCell ref="K122:K131"/>
    <mergeCell ref="M142:M151"/>
    <mergeCell ref="O142:O151"/>
    <mergeCell ref="A152:A161"/>
    <mergeCell ref="D152:D161"/>
    <mergeCell ref="E152:E161"/>
    <mergeCell ref="G152:G161"/>
    <mergeCell ref="I152:I161"/>
    <mergeCell ref="K152:K161"/>
    <mergeCell ref="M152:M161"/>
    <mergeCell ref="O152:O161"/>
    <mergeCell ref="A142:A151"/>
    <mergeCell ref="D142:D151"/>
    <mergeCell ref="E142:E151"/>
    <mergeCell ref="G142:G151"/>
    <mergeCell ref="I142:I151"/>
    <mergeCell ref="K142:K151"/>
    <mergeCell ref="M162:M171"/>
    <mergeCell ref="O162:O171"/>
    <mergeCell ref="A172:A181"/>
    <mergeCell ref="D172:D181"/>
    <mergeCell ref="E172:E181"/>
    <mergeCell ref="G172:G181"/>
    <mergeCell ref="I172:I181"/>
    <mergeCell ref="K172:K181"/>
    <mergeCell ref="M172:M181"/>
    <mergeCell ref="O172:O181"/>
    <mergeCell ref="A162:A171"/>
    <mergeCell ref="D162:D171"/>
    <mergeCell ref="E162:E171"/>
    <mergeCell ref="G162:G171"/>
    <mergeCell ref="I162:I171"/>
    <mergeCell ref="K162:K171"/>
    <mergeCell ref="M182:M191"/>
    <mergeCell ref="O182:O191"/>
    <mergeCell ref="A192:A201"/>
    <mergeCell ref="D192:D201"/>
    <mergeCell ref="E192:E201"/>
    <mergeCell ref="G192:G201"/>
    <mergeCell ref="I192:I201"/>
    <mergeCell ref="K192:K201"/>
    <mergeCell ref="M192:M201"/>
    <mergeCell ref="O192:O201"/>
    <mergeCell ref="A182:A191"/>
    <mergeCell ref="D182:D191"/>
    <mergeCell ref="E182:E191"/>
    <mergeCell ref="G182:G191"/>
    <mergeCell ref="I182:I191"/>
    <mergeCell ref="K182:K191"/>
    <mergeCell ref="M202:M211"/>
    <mergeCell ref="O202:O211"/>
    <mergeCell ref="A212:A221"/>
    <mergeCell ref="D212:D221"/>
    <mergeCell ref="E212:E221"/>
    <mergeCell ref="G212:G221"/>
    <mergeCell ref="I212:I221"/>
    <mergeCell ref="K212:K221"/>
    <mergeCell ref="M212:M221"/>
    <mergeCell ref="O212:O221"/>
    <mergeCell ref="A202:A211"/>
    <mergeCell ref="D202:D211"/>
    <mergeCell ref="E202:E211"/>
    <mergeCell ref="G202:G211"/>
    <mergeCell ref="I202:I211"/>
    <mergeCell ref="K202:K211"/>
    <mergeCell ref="M222:M231"/>
    <mergeCell ref="O222:O231"/>
    <mergeCell ref="A232:A241"/>
    <mergeCell ref="D232:D241"/>
    <mergeCell ref="E232:E241"/>
    <mergeCell ref="G232:G241"/>
    <mergeCell ref="I232:I241"/>
    <mergeCell ref="K232:K241"/>
    <mergeCell ref="M232:M241"/>
    <mergeCell ref="O232:O241"/>
    <mergeCell ref="A222:A231"/>
    <mergeCell ref="D222:D231"/>
    <mergeCell ref="E222:E231"/>
    <mergeCell ref="G222:G231"/>
    <mergeCell ref="I222:I231"/>
    <mergeCell ref="K222:K231"/>
    <mergeCell ref="M262:M271"/>
    <mergeCell ref="O262:O271"/>
    <mergeCell ref="A262:A271"/>
    <mergeCell ref="D262:D271"/>
    <mergeCell ref="E262:E271"/>
    <mergeCell ref="G262:G271"/>
    <mergeCell ref="I262:I271"/>
    <mergeCell ref="K262:K271"/>
    <mergeCell ref="M242:M251"/>
    <mergeCell ref="O242:O251"/>
    <mergeCell ref="A252:A261"/>
    <mergeCell ref="D252:D261"/>
    <mergeCell ref="E252:E261"/>
    <mergeCell ref="G252:G261"/>
    <mergeCell ref="I252:I261"/>
    <mergeCell ref="K252:K261"/>
    <mergeCell ref="M252:M261"/>
    <mergeCell ref="O252:O261"/>
    <mergeCell ref="A242:A251"/>
    <mergeCell ref="D242:D251"/>
    <mergeCell ref="E242:E251"/>
    <mergeCell ref="G242:G251"/>
    <mergeCell ref="I242:I251"/>
    <mergeCell ref="K242:K25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FE5D-C6F0-4EAD-A978-D95A57717E77}">
  <dimension ref="A1:AD28"/>
  <sheetViews>
    <sheetView tabSelected="1" zoomScaleNormal="100" workbookViewId="0">
      <selection activeCell="V31" sqref="V31"/>
    </sheetView>
  </sheetViews>
  <sheetFormatPr defaultColWidth="20.7109375" defaultRowHeight="12.75" outlineLevelCol="1"/>
  <cols>
    <col min="1" max="2" width="20.7109375" style="1"/>
    <col min="3" max="5" width="20.7109375" style="1" hidden="1" customWidth="1" outlineLevel="1"/>
    <col min="6" max="6" width="20.7109375" style="1" collapsed="1"/>
    <col min="7" max="9" width="20.7109375" style="1" hidden="1" customWidth="1" outlineLevel="1"/>
    <col min="10" max="10" width="20.7109375" style="1" collapsed="1"/>
    <col min="11" max="13" width="20.7109375" style="1" hidden="1" customWidth="1" outlineLevel="1"/>
    <col min="14" max="14" width="20.7109375" style="1" collapsed="1"/>
    <col min="15" max="17" width="20.7109375" style="1" hidden="1" customWidth="1" outlineLevel="1"/>
    <col min="18" max="18" width="20.7109375" style="1" collapsed="1"/>
    <col min="19" max="21" width="20.7109375" style="1" hidden="1" customWidth="1" outlineLevel="1"/>
    <col min="22" max="22" width="20.7109375" style="1" collapsed="1"/>
    <col min="23" max="23" width="20.7109375" style="58" hidden="1" customWidth="1" outlineLevel="1"/>
    <col min="24" max="25" width="20.7109375" style="54" hidden="1" customWidth="1" outlineLevel="1"/>
    <col min="26" max="26" width="20.7109375" style="1" collapsed="1"/>
    <col min="27" max="29" width="0" style="60" hidden="1" customWidth="1" outlineLevel="1"/>
    <col min="30" max="30" width="20.7109375" style="58" collapsed="1"/>
    <col min="31" max="16384" width="20.7109375" style="1"/>
  </cols>
  <sheetData>
    <row r="1" spans="1:30">
      <c r="A1" s="5" t="s">
        <v>6</v>
      </c>
      <c r="B1" s="5" t="s">
        <v>3</v>
      </c>
      <c r="C1" s="5" t="s">
        <v>105</v>
      </c>
      <c r="D1" s="5" t="s">
        <v>106</v>
      </c>
      <c r="E1" s="5" t="s">
        <v>107</v>
      </c>
      <c r="F1" s="5" t="s">
        <v>68</v>
      </c>
      <c r="G1" s="5" t="s">
        <v>108</v>
      </c>
      <c r="H1" s="5" t="s">
        <v>109</v>
      </c>
      <c r="I1" s="5" t="s">
        <v>110</v>
      </c>
      <c r="J1" s="5" t="s">
        <v>69</v>
      </c>
      <c r="K1" s="5" t="s">
        <v>111</v>
      </c>
      <c r="L1" s="5" t="s">
        <v>112</v>
      </c>
      <c r="M1" s="5" t="s">
        <v>113</v>
      </c>
      <c r="N1" s="5" t="s">
        <v>70</v>
      </c>
      <c r="O1" s="5" t="s">
        <v>114</v>
      </c>
      <c r="P1" s="5" t="s">
        <v>115</v>
      </c>
      <c r="Q1" s="5" t="s">
        <v>116</v>
      </c>
      <c r="R1" s="5" t="s">
        <v>71</v>
      </c>
      <c r="S1" s="5" t="s">
        <v>117</v>
      </c>
      <c r="T1" s="5" t="s">
        <v>118</v>
      </c>
      <c r="U1" s="5" t="s">
        <v>119</v>
      </c>
      <c r="V1" s="5" t="s">
        <v>72</v>
      </c>
      <c r="W1" s="59" t="s">
        <v>129</v>
      </c>
      <c r="X1" s="56" t="s">
        <v>130</v>
      </c>
      <c r="Y1" s="56" t="s">
        <v>131</v>
      </c>
      <c r="Z1" s="56" t="s">
        <v>125</v>
      </c>
      <c r="AA1" s="61" t="s">
        <v>132</v>
      </c>
      <c r="AB1" s="61" t="s">
        <v>133</v>
      </c>
      <c r="AC1" s="61" t="s">
        <v>134</v>
      </c>
      <c r="AD1" s="59" t="s">
        <v>128</v>
      </c>
    </row>
    <row r="2" spans="1:30">
      <c r="A2" s="35" t="s">
        <v>7</v>
      </c>
      <c r="B2" s="6" t="s">
        <v>8</v>
      </c>
      <c r="C2" s="17">
        <v>4.2222222222222223</v>
      </c>
      <c r="D2" s="20">
        <v>2.4444444444444446</v>
      </c>
      <c r="E2" s="20">
        <v>7.8</v>
      </c>
      <c r="F2" s="17">
        <v>4.822222222222222</v>
      </c>
      <c r="G2" s="20">
        <v>4.2222222222222223</v>
      </c>
      <c r="H2" s="20">
        <v>2.4444444444444446</v>
      </c>
      <c r="I2" s="20">
        <v>7.2</v>
      </c>
      <c r="J2" s="17">
        <v>4.6222222222222227</v>
      </c>
      <c r="K2" s="20">
        <v>4</v>
      </c>
      <c r="L2" s="20">
        <v>2.5555555555555554</v>
      </c>
      <c r="M2" s="20">
        <v>7.8</v>
      </c>
      <c r="N2" s="17">
        <v>4.7851851851851848</v>
      </c>
      <c r="O2" s="20">
        <v>3.8888888888888888</v>
      </c>
      <c r="P2" s="20">
        <v>2.3333333333333335</v>
      </c>
      <c r="Q2" s="20">
        <v>6.7</v>
      </c>
      <c r="R2" s="17">
        <v>4.3074074074074078</v>
      </c>
      <c r="S2" s="20">
        <v>4.1111111111111107</v>
      </c>
      <c r="T2" s="20">
        <v>1.7777777777777777</v>
      </c>
      <c r="U2" s="20">
        <v>7.5</v>
      </c>
      <c r="V2" s="17">
        <v>4.4629629629629628</v>
      </c>
      <c r="W2" s="17">
        <v>3.5555555555555549</v>
      </c>
      <c r="X2" s="20">
        <v>2</v>
      </c>
      <c r="Y2" s="20">
        <v>8.5</v>
      </c>
      <c r="Z2" s="17">
        <f>SUM(W2:Y2)/3</f>
        <v>4.6851851851851851</v>
      </c>
      <c r="AA2" s="20">
        <v>4.8888888888888893</v>
      </c>
      <c r="AB2" s="20">
        <v>1.8888888888888891</v>
      </c>
      <c r="AC2" s="20">
        <v>8.5</v>
      </c>
      <c r="AD2" s="17">
        <f>SUM(AA2:AC2)/3</f>
        <v>5.0925925925925926</v>
      </c>
    </row>
    <row r="3" spans="1:30">
      <c r="A3" s="36"/>
      <c r="B3" s="8" t="s">
        <v>9</v>
      </c>
      <c r="C3" s="18">
        <v>4.8888888888888893</v>
      </c>
      <c r="D3" s="21">
        <v>3.7777777777777777</v>
      </c>
      <c r="E3" s="21">
        <v>7.4</v>
      </c>
      <c r="F3" s="17">
        <v>5.355555555555557</v>
      </c>
      <c r="G3" s="21">
        <v>5.4444444444444446</v>
      </c>
      <c r="H3" s="21">
        <v>3.8888888888888888</v>
      </c>
      <c r="I3" s="21">
        <v>7.4</v>
      </c>
      <c r="J3" s="17">
        <v>5.5777777777777784</v>
      </c>
      <c r="K3" s="21">
        <v>5.4444444444444446</v>
      </c>
      <c r="L3" s="21">
        <v>4</v>
      </c>
      <c r="M3" s="21">
        <v>7.4</v>
      </c>
      <c r="N3" s="17">
        <v>5.6148148148148147</v>
      </c>
      <c r="O3" s="21">
        <v>4.5555555555555554</v>
      </c>
      <c r="P3" s="21">
        <v>3.8888888888888888</v>
      </c>
      <c r="Q3" s="21">
        <v>7.1</v>
      </c>
      <c r="R3" s="17">
        <v>5.1814814814814811</v>
      </c>
      <c r="S3" s="21">
        <v>4.4444444444444446</v>
      </c>
      <c r="T3" s="21">
        <v>4.4444444444444446</v>
      </c>
      <c r="U3" s="21">
        <v>7.5</v>
      </c>
      <c r="V3" s="17">
        <v>5.4629629629629628</v>
      </c>
      <c r="W3" s="17">
        <v>5.5555555555555554</v>
      </c>
      <c r="X3" s="21">
        <v>4.2222222222222223</v>
      </c>
      <c r="Y3" s="21">
        <v>6.3</v>
      </c>
      <c r="Z3" s="17">
        <f t="shared" ref="Z3:Z28" si="0">SUM(W3:Y3)/3</f>
        <v>5.3592592592592601</v>
      </c>
      <c r="AA3" s="21">
        <v>5.4444444444444446</v>
      </c>
      <c r="AB3" s="21">
        <v>4.1111111111111107</v>
      </c>
      <c r="AC3" s="21">
        <v>6.3</v>
      </c>
      <c r="AD3" s="17">
        <f t="shared" ref="AD3:AD28" si="1">SUM(AA3:AC3)/3</f>
        <v>5.2851851851851848</v>
      </c>
    </row>
    <row r="4" spans="1:30">
      <c r="A4" s="36"/>
      <c r="B4" s="6" t="s">
        <v>10</v>
      </c>
      <c r="C4" s="17">
        <v>2.8888888888888888</v>
      </c>
      <c r="D4" s="20">
        <v>4.5555555555555554</v>
      </c>
      <c r="E4" s="21">
        <v>3.2</v>
      </c>
      <c r="F4" s="17">
        <v>3.5481481481481487</v>
      </c>
      <c r="G4" s="20">
        <v>3.4444444444444446</v>
      </c>
      <c r="H4" s="20">
        <v>4.666666666666667</v>
      </c>
      <c r="I4" s="20">
        <v>4.3</v>
      </c>
      <c r="J4" s="17">
        <v>4.1370370370370368</v>
      </c>
      <c r="K4" s="20">
        <v>3.5555555555555554</v>
      </c>
      <c r="L4" s="20">
        <v>4.7777777777777777</v>
      </c>
      <c r="M4" s="20">
        <v>5.4</v>
      </c>
      <c r="N4" s="17">
        <v>4.5777777777777775</v>
      </c>
      <c r="O4" s="20">
        <v>3.1111111111111112</v>
      </c>
      <c r="P4" s="20">
        <v>4.666666666666667</v>
      </c>
      <c r="Q4" s="20">
        <v>6.6</v>
      </c>
      <c r="R4" s="17">
        <v>4.7925925925925927</v>
      </c>
      <c r="S4" s="20">
        <v>2.8888888888888888</v>
      </c>
      <c r="T4" s="20">
        <v>4.4444444444444446</v>
      </c>
      <c r="U4" s="20">
        <v>6.1</v>
      </c>
      <c r="V4" s="17">
        <v>4.4777777777777779</v>
      </c>
      <c r="W4" s="17">
        <v>3.666666666666667</v>
      </c>
      <c r="X4" s="20">
        <v>4.8888888888888893</v>
      </c>
      <c r="Y4" s="20">
        <v>4.8</v>
      </c>
      <c r="Z4" s="17">
        <f t="shared" si="0"/>
        <v>4.4518518518518526</v>
      </c>
      <c r="AA4" s="20">
        <v>3</v>
      </c>
      <c r="AB4" s="20">
        <v>4.666666666666667</v>
      </c>
      <c r="AC4" s="20">
        <v>4.8</v>
      </c>
      <c r="AD4" s="17">
        <f t="shared" si="1"/>
        <v>4.1555555555555559</v>
      </c>
    </row>
    <row r="5" spans="1:30">
      <c r="A5" s="36"/>
      <c r="B5" s="8" t="s">
        <v>11</v>
      </c>
      <c r="C5" s="18">
        <v>4.7777777777777777</v>
      </c>
      <c r="D5" s="21">
        <v>5.2222222222222223</v>
      </c>
      <c r="E5" s="21">
        <v>7.5</v>
      </c>
      <c r="F5" s="17">
        <v>5.833333333333333</v>
      </c>
      <c r="G5" s="21">
        <v>5.2222222222222223</v>
      </c>
      <c r="H5" s="21">
        <v>5</v>
      </c>
      <c r="I5" s="21">
        <v>7.7</v>
      </c>
      <c r="J5" s="17">
        <v>5.9740740740740739</v>
      </c>
      <c r="K5" s="21">
        <v>5.5555555555555554</v>
      </c>
      <c r="L5" s="21">
        <v>5.1111111111111107</v>
      </c>
      <c r="M5" s="21">
        <v>7.6</v>
      </c>
      <c r="N5" s="17">
        <v>6.0888888888888886</v>
      </c>
      <c r="O5" s="21">
        <v>5.4444444444444446</v>
      </c>
      <c r="P5" s="21">
        <v>5.333333333333333</v>
      </c>
      <c r="Q5" s="21">
        <v>7.6</v>
      </c>
      <c r="R5" s="17">
        <v>6.1259259259259267</v>
      </c>
      <c r="S5" s="21">
        <v>5.5555555555555554</v>
      </c>
      <c r="T5" s="21">
        <v>5.5555555555555554</v>
      </c>
      <c r="U5" s="21">
        <v>7.6</v>
      </c>
      <c r="V5" s="17">
        <v>6.2370370370370365</v>
      </c>
      <c r="W5" s="17">
        <v>6.666666666666667</v>
      </c>
      <c r="X5" s="21">
        <v>5.7777777777777777</v>
      </c>
      <c r="Y5" s="21">
        <v>6.5</v>
      </c>
      <c r="Z5" s="17">
        <f t="shared" si="0"/>
        <v>6.314814814814814</v>
      </c>
      <c r="AA5" s="21">
        <v>6.333333333333333</v>
      </c>
      <c r="AB5" s="21">
        <v>5.8888888888888893</v>
      </c>
      <c r="AC5" s="21">
        <v>6.5</v>
      </c>
      <c r="AD5" s="17">
        <f t="shared" si="1"/>
        <v>6.2407407407407405</v>
      </c>
    </row>
    <row r="6" spans="1:30">
      <c r="A6" s="36"/>
      <c r="B6" s="6" t="s">
        <v>12</v>
      </c>
      <c r="C6" s="17">
        <v>5.1111111111111107</v>
      </c>
      <c r="D6" s="20">
        <v>1.8888888888888888</v>
      </c>
      <c r="E6" s="20">
        <v>9.1</v>
      </c>
      <c r="F6" s="17">
        <v>5.3666666666666671</v>
      </c>
      <c r="G6" s="20">
        <v>4.7777777777777777</v>
      </c>
      <c r="H6" s="20">
        <v>1.5555555555555556</v>
      </c>
      <c r="I6" s="20">
        <v>9.1999999999999993</v>
      </c>
      <c r="J6" s="17">
        <v>5.1777777777777771</v>
      </c>
      <c r="K6" s="20">
        <v>5</v>
      </c>
      <c r="L6" s="20">
        <v>2.1111111111111112</v>
      </c>
      <c r="M6" s="20">
        <v>8</v>
      </c>
      <c r="N6" s="17">
        <v>5.0370370370370372</v>
      </c>
      <c r="O6" s="20">
        <v>4.4444444444444446</v>
      </c>
      <c r="P6" s="20">
        <v>2.2222222222222223</v>
      </c>
      <c r="Q6" s="20">
        <v>8.6</v>
      </c>
      <c r="R6" s="17">
        <v>5.0888888888888886</v>
      </c>
      <c r="S6" s="20">
        <v>4.5555555555555554</v>
      </c>
      <c r="T6" s="20">
        <v>1.7777777777777777</v>
      </c>
      <c r="U6" s="20">
        <v>8.4</v>
      </c>
      <c r="V6" s="17">
        <v>4.9111111111111114</v>
      </c>
      <c r="W6" s="17">
        <v>5.5555555555555554</v>
      </c>
      <c r="X6" s="20">
        <v>2.333333333333333</v>
      </c>
      <c r="Y6" s="20">
        <v>8.6999999999999993</v>
      </c>
      <c r="Z6" s="17">
        <f t="shared" si="0"/>
        <v>5.5296296296296292</v>
      </c>
      <c r="AA6" s="20">
        <v>6.1111111111111107</v>
      </c>
      <c r="AB6" s="20">
        <v>2.333333333333333</v>
      </c>
      <c r="AC6" s="20">
        <v>8.6999999999999993</v>
      </c>
      <c r="AD6" s="17">
        <f t="shared" si="1"/>
        <v>5.7148148148148143</v>
      </c>
    </row>
    <row r="7" spans="1:30">
      <c r="A7" s="36"/>
      <c r="B7" s="8" t="s">
        <v>13</v>
      </c>
      <c r="C7" s="18">
        <v>5.1111111111111107</v>
      </c>
      <c r="D7" s="21">
        <v>2.4444444444444446</v>
      </c>
      <c r="E7" s="21">
        <v>7.4</v>
      </c>
      <c r="F7" s="17">
        <v>4.9851851851851849</v>
      </c>
      <c r="G7" s="21">
        <v>5.4444444444444446</v>
      </c>
      <c r="H7" s="21">
        <v>1.8888888888888888</v>
      </c>
      <c r="I7" s="21">
        <v>7.3</v>
      </c>
      <c r="J7" s="17">
        <v>4.8777777777777773</v>
      </c>
      <c r="K7" s="21">
        <v>5</v>
      </c>
      <c r="L7" s="21">
        <v>2.1111111111111112</v>
      </c>
      <c r="M7" s="21">
        <v>6.7</v>
      </c>
      <c r="N7" s="17">
        <v>4.6037037037037036</v>
      </c>
      <c r="O7" s="21">
        <v>5.333333333333333</v>
      </c>
      <c r="P7" s="21">
        <v>2.1111111111111112</v>
      </c>
      <c r="Q7" s="21">
        <v>6.5</v>
      </c>
      <c r="R7" s="17">
        <v>4.6481481481481479</v>
      </c>
      <c r="S7" s="21">
        <v>5.2222222222222223</v>
      </c>
      <c r="T7" s="21">
        <v>1.8888888888888888</v>
      </c>
      <c r="U7" s="21">
        <v>7.5</v>
      </c>
      <c r="V7" s="17">
        <v>4.8703703703703702</v>
      </c>
      <c r="W7" s="17">
        <v>4.333333333333333</v>
      </c>
      <c r="X7" s="21">
        <v>2.5555555555555549</v>
      </c>
      <c r="Y7" s="21">
        <v>5.3</v>
      </c>
      <c r="Z7" s="17">
        <f t="shared" si="0"/>
        <v>4.0629629629629624</v>
      </c>
      <c r="AA7" s="21">
        <v>5.7777777777777777</v>
      </c>
      <c r="AB7" s="21">
        <v>2.5555555555555549</v>
      </c>
      <c r="AC7" s="21">
        <v>5.3</v>
      </c>
      <c r="AD7" s="17">
        <f t="shared" si="1"/>
        <v>4.5444444444444443</v>
      </c>
    </row>
    <row r="8" spans="1:30">
      <c r="A8" s="37"/>
      <c r="B8" s="6" t="s">
        <v>73</v>
      </c>
      <c r="C8" s="17">
        <v>5.7777777777777777</v>
      </c>
      <c r="D8" s="20">
        <v>6.7777777777777777</v>
      </c>
      <c r="E8" s="20">
        <v>7</v>
      </c>
      <c r="F8" s="17">
        <v>6.518518518518519</v>
      </c>
      <c r="G8" s="20">
        <v>5.5555555555555554</v>
      </c>
      <c r="H8" s="20">
        <v>5.8888888888888893</v>
      </c>
      <c r="I8" s="20">
        <v>6.8</v>
      </c>
      <c r="J8" s="17">
        <v>6.0814814814814815</v>
      </c>
      <c r="K8" s="20">
        <v>5.5555555555555554</v>
      </c>
      <c r="L8" s="20">
        <v>6.2222222222222223</v>
      </c>
      <c r="M8" s="20">
        <v>7.1</v>
      </c>
      <c r="N8" s="17">
        <v>6.2925925925925936</v>
      </c>
      <c r="O8" s="20">
        <v>5.1111111111111107</v>
      </c>
      <c r="P8" s="20">
        <v>6.2222222222222223</v>
      </c>
      <c r="Q8" s="20">
        <v>7.2</v>
      </c>
      <c r="R8" s="17">
        <v>6.1777777777777771</v>
      </c>
      <c r="S8" s="20">
        <v>5</v>
      </c>
      <c r="T8" s="20">
        <v>6.333333333333333</v>
      </c>
      <c r="U8" s="20">
        <v>7.2</v>
      </c>
      <c r="V8" s="17">
        <v>6.1777777777777771</v>
      </c>
      <c r="W8" s="17">
        <v>4.8888888888888893</v>
      </c>
      <c r="X8" s="20">
        <v>6.333333333333333</v>
      </c>
      <c r="Y8" s="20">
        <v>2.6</v>
      </c>
      <c r="Z8" s="17">
        <f t="shared" si="0"/>
        <v>4.6074074074074067</v>
      </c>
      <c r="AA8" s="20">
        <v>5.7777777777777777</v>
      </c>
      <c r="AB8" s="20">
        <v>6.1111111111111107</v>
      </c>
      <c r="AC8" s="20">
        <v>2.6</v>
      </c>
      <c r="AD8" s="17">
        <f t="shared" si="1"/>
        <v>4.8296296296296299</v>
      </c>
    </row>
    <row r="9" spans="1:30">
      <c r="A9" s="38" t="s">
        <v>14</v>
      </c>
      <c r="B9" s="8" t="s">
        <v>15</v>
      </c>
      <c r="C9" s="18">
        <v>4.1111111111111107</v>
      </c>
      <c r="D9" s="21">
        <v>3.4444444444444446</v>
      </c>
      <c r="E9" s="21">
        <v>7.1</v>
      </c>
      <c r="F9" s="17">
        <v>4.8851851851851853</v>
      </c>
      <c r="G9" s="21">
        <v>4.2222222222222223</v>
      </c>
      <c r="H9" s="21">
        <v>3.3333333333333335</v>
      </c>
      <c r="I9" s="21">
        <v>6</v>
      </c>
      <c r="J9" s="17">
        <v>4.5185185185185182</v>
      </c>
      <c r="K9" s="21">
        <v>4.666666666666667</v>
      </c>
      <c r="L9" s="21">
        <v>3.6666666666666665</v>
      </c>
      <c r="M9" s="21">
        <v>6.9</v>
      </c>
      <c r="N9" s="17">
        <v>5.0777777777777784</v>
      </c>
      <c r="O9" s="21">
        <v>4.2222222222222223</v>
      </c>
      <c r="P9" s="21">
        <v>3.6666666666666665</v>
      </c>
      <c r="Q9" s="21">
        <v>7.3</v>
      </c>
      <c r="R9" s="17">
        <v>5.0629629629629633</v>
      </c>
      <c r="S9" s="21">
        <v>5</v>
      </c>
      <c r="T9" s="21">
        <v>3.4444444444444446</v>
      </c>
      <c r="U9" s="21">
        <v>7.1</v>
      </c>
      <c r="V9" s="17">
        <v>5.1814814814814811</v>
      </c>
      <c r="W9" s="17">
        <v>4.8888888888888893</v>
      </c>
      <c r="X9" s="21">
        <v>3.333333333333333</v>
      </c>
      <c r="Y9" s="21">
        <v>7.3</v>
      </c>
      <c r="Z9" s="17">
        <f t="shared" si="0"/>
        <v>5.174074074074074</v>
      </c>
      <c r="AA9" s="21">
        <v>5.1111111111111107</v>
      </c>
      <c r="AB9" s="21">
        <v>3.333333333333333</v>
      </c>
      <c r="AC9" s="21">
        <v>7.3</v>
      </c>
      <c r="AD9" s="17">
        <f t="shared" si="1"/>
        <v>5.2481481481481476</v>
      </c>
    </row>
    <row r="10" spans="1:30">
      <c r="A10" s="39"/>
      <c r="B10" s="6" t="s">
        <v>16</v>
      </c>
      <c r="C10" s="17">
        <v>4.666666666666667</v>
      </c>
      <c r="D10" s="20">
        <v>6.7777777777777777</v>
      </c>
      <c r="E10" s="20">
        <v>7.5</v>
      </c>
      <c r="F10" s="17">
        <v>6.314814814814814</v>
      </c>
      <c r="G10" s="20">
        <v>4.5555555555555554</v>
      </c>
      <c r="H10" s="20">
        <v>6.2222222222222223</v>
      </c>
      <c r="I10" s="20">
        <v>7.4</v>
      </c>
      <c r="J10" s="17">
        <v>6.0592592592592593</v>
      </c>
      <c r="K10" s="20">
        <v>4.7777777777777777</v>
      </c>
      <c r="L10" s="20">
        <v>6.2222222222222223</v>
      </c>
      <c r="M10" s="20">
        <v>7.3</v>
      </c>
      <c r="N10" s="17">
        <v>6.1000000000000005</v>
      </c>
      <c r="O10" s="20">
        <v>4.8888888888888893</v>
      </c>
      <c r="P10" s="20">
        <v>6.2222222222222223</v>
      </c>
      <c r="Q10" s="20">
        <v>7.4</v>
      </c>
      <c r="R10" s="17">
        <v>6.1703703703703709</v>
      </c>
      <c r="S10" s="20">
        <v>4.8888888888888893</v>
      </c>
      <c r="T10" s="20">
        <v>6.333333333333333</v>
      </c>
      <c r="U10" s="20">
        <v>7.5</v>
      </c>
      <c r="V10" s="17">
        <v>6.2407407407407405</v>
      </c>
      <c r="W10" s="17">
        <v>4.666666666666667</v>
      </c>
      <c r="X10" s="20">
        <v>6.333333333333333</v>
      </c>
      <c r="Y10" s="20">
        <v>2.5</v>
      </c>
      <c r="Z10" s="17">
        <f t="shared" si="0"/>
        <v>4.5</v>
      </c>
      <c r="AA10" s="20">
        <v>5.7777777777777777</v>
      </c>
      <c r="AB10" s="20">
        <v>6.333333333333333</v>
      </c>
      <c r="AC10" s="20">
        <v>2.5</v>
      </c>
      <c r="AD10" s="17">
        <f t="shared" si="1"/>
        <v>4.8703703703703702</v>
      </c>
    </row>
    <row r="11" spans="1:30">
      <c r="A11" s="39"/>
      <c r="B11" s="8" t="s">
        <v>17</v>
      </c>
      <c r="C11" s="18">
        <v>5.7777777777777777</v>
      </c>
      <c r="D11" s="21">
        <v>4.333333333333333</v>
      </c>
      <c r="E11" s="21">
        <v>9</v>
      </c>
      <c r="F11" s="17">
        <v>6.3703703703703702</v>
      </c>
      <c r="G11" s="21">
        <v>5.666666666666667</v>
      </c>
      <c r="H11" s="21">
        <v>4.2222222222222223</v>
      </c>
      <c r="I11" s="21">
        <v>7.8</v>
      </c>
      <c r="J11" s="17">
        <v>5.8962962962962964</v>
      </c>
      <c r="K11" s="21">
        <v>5.7777777777777777</v>
      </c>
      <c r="L11" s="21">
        <v>4.666666666666667</v>
      </c>
      <c r="M11" s="21">
        <v>7.8</v>
      </c>
      <c r="N11" s="17">
        <v>6.0814814814814815</v>
      </c>
      <c r="O11" s="21">
        <v>5.8888888888888893</v>
      </c>
      <c r="P11" s="21">
        <v>4.333333333333333</v>
      </c>
      <c r="Q11" s="21">
        <v>7.5</v>
      </c>
      <c r="R11" s="17">
        <v>5.9074074074074074</v>
      </c>
      <c r="S11" s="21">
        <v>5.7777777777777777</v>
      </c>
      <c r="T11" s="21">
        <v>4.8888888888888893</v>
      </c>
      <c r="U11" s="21">
        <v>7.9</v>
      </c>
      <c r="V11" s="17">
        <v>6.18888888888889</v>
      </c>
      <c r="W11" s="17">
        <v>5.666666666666667</v>
      </c>
      <c r="X11" s="21">
        <v>5.333333333333333</v>
      </c>
      <c r="Y11" s="21">
        <v>4.2</v>
      </c>
      <c r="Z11" s="17">
        <f t="shared" si="0"/>
        <v>5.0666666666666664</v>
      </c>
      <c r="AA11" s="21">
        <v>6.666666666666667</v>
      </c>
      <c r="AB11" s="21">
        <v>4.5555555555555554</v>
      </c>
      <c r="AC11" s="21">
        <v>4.2</v>
      </c>
      <c r="AD11" s="17">
        <f t="shared" si="1"/>
        <v>5.1407407407407399</v>
      </c>
    </row>
    <row r="12" spans="1:30">
      <c r="A12" s="39"/>
      <c r="B12" s="6" t="s">
        <v>18</v>
      </c>
      <c r="C12" s="17">
        <v>5.333333333333333</v>
      </c>
      <c r="D12" s="20">
        <v>6.5555555555555554</v>
      </c>
      <c r="E12" s="20">
        <v>8.6</v>
      </c>
      <c r="F12" s="17">
        <v>6.8296296296296291</v>
      </c>
      <c r="G12" s="20">
        <v>4.7777777777777777</v>
      </c>
      <c r="H12" s="20">
        <v>6.333333333333333</v>
      </c>
      <c r="I12" s="20">
        <v>8.3000000000000007</v>
      </c>
      <c r="J12" s="17">
        <v>6.4703703703703708</v>
      </c>
      <c r="K12" s="20">
        <v>5.4444444444444446</v>
      </c>
      <c r="L12" s="20">
        <v>6.5555555555555554</v>
      </c>
      <c r="M12" s="20">
        <v>8</v>
      </c>
      <c r="N12" s="17">
        <v>6.666666666666667</v>
      </c>
      <c r="O12" s="20">
        <v>5</v>
      </c>
      <c r="P12" s="20">
        <v>6.5555555555555554</v>
      </c>
      <c r="Q12" s="20">
        <v>7.9</v>
      </c>
      <c r="R12" s="17">
        <v>6.4851851851851849</v>
      </c>
      <c r="S12" s="20">
        <v>5.1111111111111107</v>
      </c>
      <c r="T12" s="20">
        <v>6.7777777777777777</v>
      </c>
      <c r="U12" s="20">
        <v>8.3000000000000007</v>
      </c>
      <c r="V12" s="17">
        <v>6.7296296296296303</v>
      </c>
      <c r="W12" s="17">
        <v>5.1111111111111107</v>
      </c>
      <c r="X12" s="20">
        <v>7.333333333333333</v>
      </c>
      <c r="Y12" s="20">
        <v>6.6</v>
      </c>
      <c r="Z12" s="17">
        <f t="shared" si="0"/>
        <v>6.3481481481481481</v>
      </c>
      <c r="AA12" s="20">
        <v>5.5555555555555554</v>
      </c>
      <c r="AB12" s="20">
        <v>7.2222222222222223</v>
      </c>
      <c r="AC12" s="20">
        <v>6.6</v>
      </c>
      <c r="AD12" s="17">
        <f t="shared" si="1"/>
        <v>6.4592592592592597</v>
      </c>
    </row>
    <row r="13" spans="1:30">
      <c r="A13" s="39"/>
      <c r="B13" s="8" t="s">
        <v>19</v>
      </c>
      <c r="C13" s="18">
        <v>5.2222222222222223</v>
      </c>
      <c r="D13" s="21">
        <v>4.2222222222222223</v>
      </c>
      <c r="E13" s="21">
        <v>8.6</v>
      </c>
      <c r="F13" s="17">
        <v>6.0148148148148151</v>
      </c>
      <c r="G13" s="21">
        <v>5.8888888888888893</v>
      </c>
      <c r="H13" s="21">
        <v>5</v>
      </c>
      <c r="I13" s="21">
        <v>8.4</v>
      </c>
      <c r="J13" s="17">
        <v>6.4296296296296305</v>
      </c>
      <c r="K13" s="21">
        <v>6.7777777777777777</v>
      </c>
      <c r="L13" s="21">
        <v>5.2222222222222223</v>
      </c>
      <c r="M13" s="21">
        <v>8.1999999999999993</v>
      </c>
      <c r="N13" s="17">
        <v>6.7333333333333334</v>
      </c>
      <c r="O13" s="21">
        <v>6.1111111111111107</v>
      </c>
      <c r="P13" s="21">
        <v>4.333333333333333</v>
      </c>
      <c r="Q13" s="21">
        <v>8.1</v>
      </c>
      <c r="R13" s="17">
        <v>6.1814814814814811</v>
      </c>
      <c r="S13" s="21">
        <v>5.7777777777777777</v>
      </c>
      <c r="T13" s="21">
        <v>5.666666666666667</v>
      </c>
      <c r="U13" s="21">
        <v>8.3000000000000007</v>
      </c>
      <c r="V13" s="17">
        <v>6.5814814814814824</v>
      </c>
      <c r="W13" s="17">
        <v>5.2222222222222223</v>
      </c>
      <c r="X13" s="21">
        <v>5.8888888888888893</v>
      </c>
      <c r="Y13" s="21">
        <v>6.3</v>
      </c>
      <c r="Z13" s="17">
        <f t="shared" si="0"/>
        <v>5.8037037037037038</v>
      </c>
      <c r="AA13" s="21">
        <v>5.2222222222222223</v>
      </c>
      <c r="AB13" s="21">
        <v>6</v>
      </c>
      <c r="AC13" s="21">
        <v>6.3</v>
      </c>
      <c r="AD13" s="17">
        <f t="shared" si="1"/>
        <v>5.840740740740741</v>
      </c>
    </row>
    <row r="14" spans="1:30">
      <c r="A14" s="39"/>
      <c r="B14" s="6" t="s">
        <v>20</v>
      </c>
      <c r="C14" s="17">
        <v>5.2222222222222223</v>
      </c>
      <c r="D14" s="20">
        <v>4</v>
      </c>
      <c r="E14" s="20">
        <v>8.3000000000000007</v>
      </c>
      <c r="F14" s="17">
        <v>5.840740740740741</v>
      </c>
      <c r="G14" s="20">
        <v>5.4444444444444446</v>
      </c>
      <c r="H14" s="20">
        <v>4</v>
      </c>
      <c r="I14" s="20">
        <v>8</v>
      </c>
      <c r="J14" s="17">
        <v>5.814814814814814</v>
      </c>
      <c r="K14" s="20">
        <v>5.4444444444444446</v>
      </c>
      <c r="L14" s="20">
        <v>4.2222222222222223</v>
      </c>
      <c r="M14" s="20">
        <v>8.1999999999999993</v>
      </c>
      <c r="N14" s="17">
        <v>5.9555555555555557</v>
      </c>
      <c r="O14" s="20">
        <v>5.4444444444444446</v>
      </c>
      <c r="P14" s="20">
        <v>3.8888888888888888</v>
      </c>
      <c r="Q14" s="20">
        <v>8.1999999999999993</v>
      </c>
      <c r="R14" s="17">
        <v>5.8444444444444441</v>
      </c>
      <c r="S14" s="20">
        <v>5.666666666666667</v>
      </c>
      <c r="T14" s="20">
        <v>4.8888888888888893</v>
      </c>
      <c r="U14" s="20">
        <v>5.6</v>
      </c>
      <c r="V14" s="17">
        <v>5.3851851851851862</v>
      </c>
      <c r="W14" s="17">
        <v>6.1111111111111107</v>
      </c>
      <c r="X14" s="20">
        <v>5.1111111111111107</v>
      </c>
      <c r="Y14" s="20">
        <v>7.4</v>
      </c>
      <c r="Z14" s="17">
        <f t="shared" si="0"/>
        <v>6.2074074074074064</v>
      </c>
      <c r="AA14" s="20">
        <v>6.2222222222222223</v>
      </c>
      <c r="AB14" s="20">
        <v>4.8888888888888893</v>
      </c>
      <c r="AC14" s="20">
        <v>7.4</v>
      </c>
      <c r="AD14" s="17">
        <f t="shared" si="1"/>
        <v>6.1703703703703709</v>
      </c>
    </row>
    <row r="15" spans="1:30">
      <c r="A15" s="39"/>
      <c r="B15" s="8" t="s">
        <v>21</v>
      </c>
      <c r="C15" s="18">
        <v>4.8888888888888893</v>
      </c>
      <c r="D15" s="21">
        <v>4.7777777777777777</v>
      </c>
      <c r="E15" s="21">
        <v>7.6</v>
      </c>
      <c r="F15" s="17">
        <v>5.7555555555555555</v>
      </c>
      <c r="G15" s="21">
        <v>5</v>
      </c>
      <c r="H15" s="21">
        <v>4.666666666666667</v>
      </c>
      <c r="I15" s="21">
        <v>6</v>
      </c>
      <c r="J15" s="17">
        <v>5.2222222222222223</v>
      </c>
      <c r="K15" s="21">
        <v>4.666666666666667</v>
      </c>
      <c r="L15" s="21">
        <v>4.8888888888888893</v>
      </c>
      <c r="M15" s="21">
        <v>5.8</v>
      </c>
      <c r="N15" s="17">
        <v>5.1185185185185196</v>
      </c>
      <c r="O15" s="21">
        <v>4.666666666666667</v>
      </c>
      <c r="P15" s="21">
        <v>5</v>
      </c>
      <c r="Q15" s="21">
        <v>6.4</v>
      </c>
      <c r="R15" s="17">
        <v>5.355555555555557</v>
      </c>
      <c r="S15" s="21">
        <v>4.666666666666667</v>
      </c>
      <c r="T15" s="21">
        <v>5.4444444444444446</v>
      </c>
      <c r="U15" s="21">
        <v>9.6999999999999993</v>
      </c>
      <c r="V15" s="17">
        <v>6.6037037037037036</v>
      </c>
      <c r="W15" s="17">
        <v>5.1111111111111107</v>
      </c>
      <c r="X15" s="21">
        <v>5.333333333333333</v>
      </c>
      <c r="Y15" s="21">
        <v>7.2</v>
      </c>
      <c r="Z15" s="17">
        <f t="shared" si="0"/>
        <v>5.8814814814814804</v>
      </c>
      <c r="AA15" s="21">
        <v>5.2222222222222223</v>
      </c>
      <c r="AB15" s="21">
        <v>4.8888888888888893</v>
      </c>
      <c r="AC15" s="21">
        <v>7.2</v>
      </c>
      <c r="AD15" s="17">
        <f t="shared" si="1"/>
        <v>5.7703703703703697</v>
      </c>
    </row>
    <row r="16" spans="1:30">
      <c r="A16" s="39"/>
      <c r="B16" s="6" t="s">
        <v>22</v>
      </c>
      <c r="C16" s="17">
        <v>4.666666666666667</v>
      </c>
      <c r="D16" s="20">
        <v>5</v>
      </c>
      <c r="E16" s="20">
        <v>8.4</v>
      </c>
      <c r="F16" s="17">
        <v>6.022222222222223</v>
      </c>
      <c r="G16" s="20">
        <v>4.8888888888888893</v>
      </c>
      <c r="H16" s="20">
        <v>4.666666666666667</v>
      </c>
      <c r="I16" s="20">
        <v>7.9</v>
      </c>
      <c r="J16" s="17">
        <v>5.8185185185185189</v>
      </c>
      <c r="K16" s="20">
        <v>5.5555555555555554</v>
      </c>
      <c r="L16" s="20">
        <v>5.1111111111111107</v>
      </c>
      <c r="M16" s="20">
        <v>8</v>
      </c>
      <c r="N16" s="17">
        <v>6.2222222222222214</v>
      </c>
      <c r="O16" s="20">
        <v>4.8888888888888893</v>
      </c>
      <c r="P16" s="20">
        <v>4.4444444444444446</v>
      </c>
      <c r="Q16" s="20">
        <v>8.1</v>
      </c>
      <c r="R16" s="17">
        <v>5.8111111111111109</v>
      </c>
      <c r="S16" s="20">
        <v>4.8888888888888893</v>
      </c>
      <c r="T16" s="20">
        <v>4.7777777777777777</v>
      </c>
      <c r="U16" s="20">
        <v>8.1999999999999993</v>
      </c>
      <c r="V16" s="17">
        <v>5.9555555555555557</v>
      </c>
      <c r="W16" s="17">
        <v>5.4444444444444446</v>
      </c>
      <c r="X16" s="20">
        <v>4.7777777777777777</v>
      </c>
      <c r="Y16" s="20">
        <v>9.9</v>
      </c>
      <c r="Z16" s="17">
        <f t="shared" si="0"/>
        <v>6.7074074074074064</v>
      </c>
      <c r="AA16" s="20">
        <v>5.4444444444444446</v>
      </c>
      <c r="AB16" s="20">
        <v>4.666666666666667</v>
      </c>
      <c r="AC16" s="20">
        <v>9.9</v>
      </c>
      <c r="AD16" s="17">
        <f t="shared" si="1"/>
        <v>6.6703703703703709</v>
      </c>
    </row>
    <row r="17" spans="1:30">
      <c r="A17" s="49"/>
      <c r="B17" s="8" t="s">
        <v>23</v>
      </c>
      <c r="C17" s="18">
        <v>4.8888888888888893</v>
      </c>
      <c r="D17" s="21">
        <v>5.2222222222222223</v>
      </c>
      <c r="E17" s="21">
        <v>7.5</v>
      </c>
      <c r="F17" s="17">
        <v>5.8703703703703702</v>
      </c>
      <c r="G17" s="21">
        <v>5</v>
      </c>
      <c r="H17" s="21">
        <v>5.4444444444444446</v>
      </c>
      <c r="I17" s="21">
        <v>7.5</v>
      </c>
      <c r="J17" s="17">
        <v>5.981481481481481</v>
      </c>
      <c r="K17" s="21">
        <v>5.333333333333333</v>
      </c>
      <c r="L17" s="21">
        <v>5</v>
      </c>
      <c r="M17" s="21">
        <v>7.9</v>
      </c>
      <c r="N17" s="17">
        <v>6.0777777777777784</v>
      </c>
      <c r="O17" s="21">
        <v>4.8888888888888893</v>
      </c>
      <c r="P17" s="21">
        <v>5.4444444444444446</v>
      </c>
      <c r="Q17" s="21">
        <v>6.7</v>
      </c>
      <c r="R17" s="17">
        <v>5.677777777777778</v>
      </c>
      <c r="S17" s="21">
        <v>5</v>
      </c>
      <c r="T17" s="21">
        <v>5</v>
      </c>
      <c r="U17" s="21">
        <v>7.5</v>
      </c>
      <c r="V17" s="17">
        <v>5.833333333333333</v>
      </c>
      <c r="W17" s="17">
        <v>5.4444444444444446</v>
      </c>
      <c r="X17" s="21">
        <v>5.7777777777777777</v>
      </c>
      <c r="Y17" s="21">
        <v>8.1</v>
      </c>
      <c r="Z17" s="17">
        <f t="shared" si="0"/>
        <v>6.4407407407407407</v>
      </c>
      <c r="AA17" s="21">
        <v>5.4444444444444446</v>
      </c>
      <c r="AB17" s="21">
        <v>5.666666666666667</v>
      </c>
      <c r="AC17" s="21">
        <v>8.1</v>
      </c>
      <c r="AD17" s="17">
        <f t="shared" si="1"/>
        <v>6.4037037037037026</v>
      </c>
    </row>
    <row r="18" spans="1:30">
      <c r="A18" s="35" t="s">
        <v>24</v>
      </c>
      <c r="B18" s="6" t="s">
        <v>25</v>
      </c>
      <c r="C18" s="17">
        <v>7.333333333333333</v>
      </c>
      <c r="D18" s="20">
        <v>3.4444444444444446</v>
      </c>
      <c r="E18" s="20">
        <v>8.4</v>
      </c>
      <c r="F18" s="17">
        <v>6.3925925925925924</v>
      </c>
      <c r="G18" s="20">
        <v>7.7777777777777777</v>
      </c>
      <c r="H18" s="20">
        <v>3.3333333333333335</v>
      </c>
      <c r="I18" s="20">
        <v>8.4</v>
      </c>
      <c r="J18" s="17">
        <v>6.503703703703704</v>
      </c>
      <c r="K18" s="20">
        <v>7.8888888888888893</v>
      </c>
      <c r="L18" s="20">
        <v>3.4444444444444446</v>
      </c>
      <c r="M18" s="20">
        <v>7.2</v>
      </c>
      <c r="N18" s="17">
        <v>6.177777777777778</v>
      </c>
      <c r="O18" s="20">
        <v>7.333333333333333</v>
      </c>
      <c r="P18" s="20">
        <v>3.6666666666666665</v>
      </c>
      <c r="Q18" s="20">
        <v>7.5</v>
      </c>
      <c r="R18" s="17">
        <v>6.166666666666667</v>
      </c>
      <c r="S18" s="20">
        <v>8.1111111111111107</v>
      </c>
      <c r="T18" s="20">
        <v>3.4444444444444446</v>
      </c>
      <c r="U18" s="20">
        <v>7.3</v>
      </c>
      <c r="V18" s="17">
        <v>6.2851851851851848</v>
      </c>
      <c r="W18" s="17">
        <v>7.4444444444444446</v>
      </c>
      <c r="X18" s="20">
        <v>3.5555555555555549</v>
      </c>
      <c r="Y18" s="20">
        <v>7.7</v>
      </c>
      <c r="Z18" s="17">
        <f t="shared" si="0"/>
        <v>6.2333333333333334</v>
      </c>
      <c r="AA18" s="20">
        <v>7.333333333333333</v>
      </c>
      <c r="AB18" s="20">
        <v>3.666666666666667</v>
      </c>
      <c r="AC18" s="20">
        <v>7.7</v>
      </c>
      <c r="AD18" s="17">
        <f t="shared" si="1"/>
        <v>6.2333333333333334</v>
      </c>
    </row>
    <row r="19" spans="1:30">
      <c r="A19" s="36"/>
      <c r="B19" s="8" t="s">
        <v>26</v>
      </c>
      <c r="C19" s="18">
        <v>8.4444444444444446</v>
      </c>
      <c r="D19" s="21">
        <v>5.1111111111111107</v>
      </c>
      <c r="E19" s="21">
        <v>7</v>
      </c>
      <c r="F19" s="17">
        <v>6.8518518518518521</v>
      </c>
      <c r="G19" s="21">
        <v>8.6666666666666661</v>
      </c>
      <c r="H19" s="21">
        <v>5.1111111111111107</v>
      </c>
      <c r="I19" s="21">
        <v>7</v>
      </c>
      <c r="J19" s="17">
        <v>6.9259259259259265</v>
      </c>
      <c r="K19" s="21">
        <v>8.6666666666666661</v>
      </c>
      <c r="L19" s="21">
        <v>5.1111111111111107</v>
      </c>
      <c r="M19" s="21">
        <v>5.0999999999999996</v>
      </c>
      <c r="N19" s="17">
        <v>6.2925925925925918</v>
      </c>
      <c r="O19" s="21">
        <v>8.6666666666666661</v>
      </c>
      <c r="P19" s="21">
        <v>5.1111111111111107</v>
      </c>
      <c r="Q19" s="21">
        <v>6.7</v>
      </c>
      <c r="R19" s="17">
        <v>6.825925925925926</v>
      </c>
      <c r="S19" s="21">
        <v>8.7777777777777786</v>
      </c>
      <c r="T19" s="21">
        <v>4.666666666666667</v>
      </c>
      <c r="U19" s="21">
        <v>5.2</v>
      </c>
      <c r="V19" s="17">
        <v>6.2148148148148152</v>
      </c>
      <c r="W19" s="17">
        <v>8.1111111111111107</v>
      </c>
      <c r="X19" s="21">
        <v>5.4444444444444446</v>
      </c>
      <c r="Y19" s="21">
        <v>9.6</v>
      </c>
      <c r="Z19" s="17">
        <f t="shared" si="0"/>
        <v>7.7185185185185183</v>
      </c>
      <c r="AA19" s="21">
        <v>8</v>
      </c>
      <c r="AB19" s="21">
        <v>5.333333333333333</v>
      </c>
      <c r="AC19" s="21">
        <v>9.6</v>
      </c>
      <c r="AD19" s="17">
        <f t="shared" si="1"/>
        <v>7.644444444444443</v>
      </c>
    </row>
    <row r="20" spans="1:30">
      <c r="A20" s="36"/>
      <c r="B20" s="6" t="s">
        <v>27</v>
      </c>
      <c r="C20" s="17">
        <v>7.666666666666667</v>
      </c>
      <c r="D20" s="20">
        <v>3.1111111111111112</v>
      </c>
      <c r="E20" s="20">
        <v>7.5</v>
      </c>
      <c r="F20" s="17">
        <v>6.0925925925925926</v>
      </c>
      <c r="G20" s="20">
        <v>7.666666666666667</v>
      </c>
      <c r="H20" s="20">
        <v>2.7777777777777777</v>
      </c>
      <c r="I20" s="20">
        <v>7.2</v>
      </c>
      <c r="J20" s="17">
        <v>5.8814814814814822</v>
      </c>
      <c r="K20" s="20">
        <v>7.4444444444444446</v>
      </c>
      <c r="L20" s="20">
        <v>3</v>
      </c>
      <c r="M20" s="20">
        <v>7.6</v>
      </c>
      <c r="N20" s="17">
        <v>6.0148148148148151</v>
      </c>
      <c r="O20" s="20">
        <v>7.333333333333333</v>
      </c>
      <c r="P20" s="20">
        <v>2.8888888888888888</v>
      </c>
      <c r="Q20" s="20">
        <v>7.1</v>
      </c>
      <c r="R20" s="17">
        <v>5.7740740740740746</v>
      </c>
      <c r="S20" s="20">
        <v>7.4444444444444446</v>
      </c>
      <c r="T20" s="20">
        <v>2.4444444444444446</v>
      </c>
      <c r="U20" s="20">
        <v>6</v>
      </c>
      <c r="V20" s="17">
        <v>5.2962962962962967</v>
      </c>
      <c r="W20" s="17">
        <v>7</v>
      </c>
      <c r="X20" s="20">
        <v>3.4444444444444451</v>
      </c>
      <c r="Y20" s="20">
        <v>9.1</v>
      </c>
      <c r="Z20" s="17">
        <f t="shared" si="0"/>
        <v>6.5148148148148151</v>
      </c>
      <c r="AA20" s="20">
        <v>7</v>
      </c>
      <c r="AB20" s="20">
        <v>3.1111111111111112</v>
      </c>
      <c r="AC20" s="20">
        <v>9.3000000000000007</v>
      </c>
      <c r="AD20" s="17">
        <f t="shared" si="1"/>
        <v>6.4703703703703708</v>
      </c>
    </row>
    <row r="21" spans="1:30">
      <c r="A21" s="37"/>
      <c r="B21" s="8" t="s">
        <v>28</v>
      </c>
      <c r="C21" s="18">
        <v>8.2222222222222214</v>
      </c>
      <c r="D21" s="21">
        <v>4.1111111111111107</v>
      </c>
      <c r="E21" s="21">
        <v>7.2</v>
      </c>
      <c r="F21" s="17">
        <v>6.5111111111111102</v>
      </c>
      <c r="G21" s="21">
        <v>8.4444444444444446</v>
      </c>
      <c r="H21" s="21">
        <v>4.1111111111111107</v>
      </c>
      <c r="I21" s="21">
        <v>7</v>
      </c>
      <c r="J21" s="17">
        <v>6.518518518518519</v>
      </c>
      <c r="K21" s="21">
        <v>8.3333333333333339</v>
      </c>
      <c r="L21" s="21">
        <v>3.7777777777777777</v>
      </c>
      <c r="M21" s="21">
        <v>5.4</v>
      </c>
      <c r="N21" s="17">
        <v>5.8370370370370379</v>
      </c>
      <c r="O21" s="21">
        <v>8.2222222222222214</v>
      </c>
      <c r="P21" s="21">
        <v>3.5555555555555554</v>
      </c>
      <c r="Q21" s="21">
        <v>6.7</v>
      </c>
      <c r="R21" s="17">
        <v>6.159259259259259</v>
      </c>
      <c r="S21" s="21">
        <v>8.3333333333333339</v>
      </c>
      <c r="T21" s="21">
        <v>3.6666666666666665</v>
      </c>
      <c r="U21" s="21">
        <v>6.3</v>
      </c>
      <c r="V21" s="17">
        <v>6.1000000000000005</v>
      </c>
      <c r="W21" s="17">
        <v>8.1111111111111107</v>
      </c>
      <c r="X21" s="21">
        <v>4.2222222222222223</v>
      </c>
      <c r="Y21" s="21">
        <v>9.9</v>
      </c>
      <c r="Z21" s="17">
        <f t="shared" si="0"/>
        <v>7.4111111111111114</v>
      </c>
      <c r="AA21" s="21">
        <v>8.1111111111111107</v>
      </c>
      <c r="AB21" s="21">
        <v>3.7777777777777781</v>
      </c>
      <c r="AC21" s="21">
        <v>10</v>
      </c>
      <c r="AD21" s="17">
        <f t="shared" si="1"/>
        <v>7.2962962962962967</v>
      </c>
    </row>
    <row r="22" spans="1:30">
      <c r="A22" s="38" t="s">
        <v>29</v>
      </c>
      <c r="B22" s="6" t="s">
        <v>30</v>
      </c>
      <c r="C22" s="17">
        <v>6.666666666666667</v>
      </c>
      <c r="D22" s="20">
        <v>5.2222222222222223</v>
      </c>
      <c r="E22" s="20">
        <v>6.8</v>
      </c>
      <c r="F22" s="17">
        <v>6.2296296296296303</v>
      </c>
      <c r="G22" s="20">
        <v>7.1111111111111107</v>
      </c>
      <c r="H22" s="20">
        <v>5</v>
      </c>
      <c r="I22" s="20">
        <v>7</v>
      </c>
      <c r="J22" s="17">
        <v>6.3703703703703702</v>
      </c>
      <c r="K22" s="20">
        <v>6.2222222222222223</v>
      </c>
      <c r="L22" s="20">
        <v>4.666666666666667</v>
      </c>
      <c r="M22" s="20">
        <v>7.3</v>
      </c>
      <c r="N22" s="17">
        <v>6.0629629629629633</v>
      </c>
      <c r="O22" s="20">
        <v>6.4444444444444446</v>
      </c>
      <c r="P22" s="20">
        <v>4.7777777777777777</v>
      </c>
      <c r="Q22" s="20">
        <v>7.8</v>
      </c>
      <c r="R22" s="17">
        <v>6.340740740740741</v>
      </c>
      <c r="S22" s="20">
        <v>6.666666666666667</v>
      </c>
      <c r="T22" s="20">
        <v>4.666666666666667</v>
      </c>
      <c r="U22" s="20">
        <v>9.3000000000000007</v>
      </c>
      <c r="V22" s="17">
        <v>6.8777777777777773</v>
      </c>
      <c r="W22" s="17">
        <v>7</v>
      </c>
      <c r="X22" s="20">
        <v>5.333333333333333</v>
      </c>
      <c r="Y22" s="20">
        <v>9</v>
      </c>
      <c r="Z22" s="17">
        <f t="shared" si="0"/>
        <v>7.1111111111111107</v>
      </c>
      <c r="AA22" s="20">
        <v>6.4444444444444446</v>
      </c>
      <c r="AB22" s="20">
        <v>5.1111111111111107</v>
      </c>
      <c r="AC22" s="20">
        <v>9.9</v>
      </c>
      <c r="AD22" s="17">
        <f t="shared" si="1"/>
        <v>7.1518518518518519</v>
      </c>
    </row>
    <row r="23" spans="1:30">
      <c r="A23" s="39"/>
      <c r="B23" s="8" t="s">
        <v>31</v>
      </c>
      <c r="C23" s="18">
        <v>6.5555555555555554</v>
      </c>
      <c r="D23" s="21">
        <v>5.2222222222222223</v>
      </c>
      <c r="E23" s="21">
        <v>8.1999999999999993</v>
      </c>
      <c r="F23" s="17">
        <v>6.659259259259259</v>
      </c>
      <c r="G23" s="21">
        <v>7</v>
      </c>
      <c r="H23" s="21">
        <v>5</v>
      </c>
      <c r="I23" s="21">
        <v>8.4</v>
      </c>
      <c r="J23" s="17">
        <v>6.8</v>
      </c>
      <c r="K23" s="21">
        <v>7</v>
      </c>
      <c r="L23" s="21">
        <v>5</v>
      </c>
      <c r="M23" s="21">
        <v>10</v>
      </c>
      <c r="N23" s="17">
        <v>7.333333333333333</v>
      </c>
      <c r="O23" s="21">
        <v>7.2222222222222223</v>
      </c>
      <c r="P23" s="21">
        <v>5</v>
      </c>
      <c r="Q23" s="21">
        <v>6.7</v>
      </c>
      <c r="R23" s="17">
        <v>6.3074074074074069</v>
      </c>
      <c r="S23" s="21">
        <v>6.8888888888888893</v>
      </c>
      <c r="T23" s="21">
        <v>4.5555555555555554</v>
      </c>
      <c r="U23" s="21">
        <v>7.5</v>
      </c>
      <c r="V23" s="17">
        <v>6.314814814814814</v>
      </c>
      <c r="W23" s="17">
        <v>7.1111111111111107</v>
      </c>
      <c r="X23" s="21">
        <v>5.5555555555555554</v>
      </c>
      <c r="Y23" s="21">
        <v>9.1999999999999993</v>
      </c>
      <c r="Z23" s="17">
        <f t="shared" si="0"/>
        <v>7.2888888888888888</v>
      </c>
      <c r="AA23" s="21">
        <v>7.1111111111111107</v>
      </c>
      <c r="AB23" s="21">
        <v>5.4444444444444446</v>
      </c>
      <c r="AC23" s="21">
        <v>9.1</v>
      </c>
      <c r="AD23" s="17">
        <f t="shared" si="1"/>
        <v>7.2185185185185183</v>
      </c>
    </row>
    <row r="24" spans="1:30">
      <c r="A24" s="39"/>
      <c r="B24" s="6" t="s">
        <v>32</v>
      </c>
      <c r="C24" s="17">
        <v>7.666666666666667</v>
      </c>
      <c r="D24" s="20">
        <v>4.8888888888888893</v>
      </c>
      <c r="E24" s="20">
        <v>8.1999999999999993</v>
      </c>
      <c r="F24" s="17">
        <v>6.9185185185185185</v>
      </c>
      <c r="G24" s="20">
        <v>8</v>
      </c>
      <c r="H24" s="20">
        <v>4.5555555555555554</v>
      </c>
      <c r="I24" s="20">
        <v>8.5</v>
      </c>
      <c r="J24" s="17">
        <v>7.018518518518519</v>
      </c>
      <c r="K24" s="20">
        <v>6.7777777777777777</v>
      </c>
      <c r="L24" s="20">
        <v>4.333333333333333</v>
      </c>
      <c r="M24" s="20">
        <v>8.1</v>
      </c>
      <c r="N24" s="17">
        <v>6.4037037037037026</v>
      </c>
      <c r="O24" s="20">
        <v>7.666666666666667</v>
      </c>
      <c r="P24" s="20">
        <v>4.666666666666667</v>
      </c>
      <c r="Q24" s="20">
        <v>8.1</v>
      </c>
      <c r="R24" s="17">
        <v>6.8111111111111109</v>
      </c>
      <c r="S24" s="20">
        <v>8</v>
      </c>
      <c r="T24" s="20">
        <v>4.333333333333333</v>
      </c>
      <c r="U24" s="20">
        <v>8.1999999999999993</v>
      </c>
      <c r="V24" s="17">
        <v>6.8444444444444441</v>
      </c>
      <c r="W24" s="17">
        <v>7.666666666666667</v>
      </c>
      <c r="X24" s="20">
        <v>4.333333333333333</v>
      </c>
      <c r="Y24" s="20">
        <v>9.5</v>
      </c>
      <c r="Z24" s="17">
        <f t="shared" si="0"/>
        <v>7.166666666666667</v>
      </c>
      <c r="AA24" s="20">
        <v>7.5555555555555554</v>
      </c>
      <c r="AB24" s="20">
        <v>4.5555555555555554</v>
      </c>
      <c r="AC24" s="20">
        <v>10</v>
      </c>
      <c r="AD24" s="17">
        <f t="shared" si="1"/>
        <v>7.3703703703703702</v>
      </c>
    </row>
    <row r="25" spans="1:30">
      <c r="A25" s="49"/>
      <c r="B25" s="8" t="s">
        <v>33</v>
      </c>
      <c r="C25" s="18">
        <v>8.3333333333333339</v>
      </c>
      <c r="D25" s="21">
        <v>5.333333333333333</v>
      </c>
      <c r="E25" s="21">
        <v>9.6</v>
      </c>
      <c r="F25" s="17">
        <v>7.7555555555555555</v>
      </c>
      <c r="G25" s="21">
        <v>8.5555555555555554</v>
      </c>
      <c r="H25" s="21">
        <v>5.333333333333333</v>
      </c>
      <c r="I25" s="21">
        <v>8.5</v>
      </c>
      <c r="J25" s="17">
        <v>7.4629629629629628</v>
      </c>
      <c r="K25" s="21">
        <v>8.7777777777777786</v>
      </c>
      <c r="L25" s="21">
        <v>5.5555555555555554</v>
      </c>
      <c r="M25" s="21">
        <v>8.6</v>
      </c>
      <c r="N25" s="17">
        <v>7.6444444444444448</v>
      </c>
      <c r="O25" s="21">
        <v>8.5555555555555554</v>
      </c>
      <c r="P25" s="21">
        <v>5.4444444444444446</v>
      </c>
      <c r="Q25" s="21">
        <v>8.5</v>
      </c>
      <c r="R25" s="17">
        <v>7.5</v>
      </c>
      <c r="S25" s="21">
        <v>8.7777777777777786</v>
      </c>
      <c r="T25" s="21">
        <v>5.1111111111111107</v>
      </c>
      <c r="U25" s="21">
        <v>9.9</v>
      </c>
      <c r="V25" s="17">
        <v>7.9296296296296305</v>
      </c>
      <c r="W25" s="17">
        <v>8.5555555555555554</v>
      </c>
      <c r="X25" s="21">
        <v>5.333333333333333</v>
      </c>
      <c r="Y25" s="21">
        <v>9.6999999999999993</v>
      </c>
      <c r="Z25" s="17">
        <f t="shared" si="0"/>
        <v>7.8629629629629632</v>
      </c>
      <c r="AA25" s="21">
        <v>8.2222222222222214</v>
      </c>
      <c r="AB25" s="21">
        <v>5.1111111111111107</v>
      </c>
      <c r="AC25" s="21">
        <v>10</v>
      </c>
      <c r="AD25" s="17">
        <f t="shared" si="1"/>
        <v>7.7777777777777777</v>
      </c>
    </row>
    <row r="26" spans="1:30">
      <c r="A26" s="35" t="s">
        <v>34</v>
      </c>
      <c r="B26" s="6" t="s">
        <v>35</v>
      </c>
      <c r="C26" s="17">
        <v>7.333333333333333</v>
      </c>
      <c r="D26" s="20">
        <v>5.5555555555555554</v>
      </c>
      <c r="E26" s="20">
        <v>8.9</v>
      </c>
      <c r="F26" s="17">
        <v>7.2629629629629635</v>
      </c>
      <c r="G26" s="20">
        <v>7.666666666666667</v>
      </c>
      <c r="H26" s="20">
        <v>5.5555555555555554</v>
      </c>
      <c r="I26" s="20">
        <v>9</v>
      </c>
      <c r="J26" s="17">
        <v>7.4074074074074074</v>
      </c>
      <c r="K26" s="20">
        <v>7.7777777777777777</v>
      </c>
      <c r="L26" s="20">
        <v>5.4444444444444446</v>
      </c>
      <c r="M26" s="20">
        <v>8.4</v>
      </c>
      <c r="N26" s="17">
        <v>7.2074074074074064</v>
      </c>
      <c r="O26" s="20">
        <v>8</v>
      </c>
      <c r="P26" s="20">
        <v>5.333333333333333</v>
      </c>
      <c r="Q26" s="20">
        <v>8.3000000000000007</v>
      </c>
      <c r="R26" s="17">
        <v>7.2111111111111112</v>
      </c>
      <c r="S26" s="20">
        <v>8</v>
      </c>
      <c r="T26" s="20">
        <v>5.4444444444444446</v>
      </c>
      <c r="U26" s="20">
        <v>8.4</v>
      </c>
      <c r="V26" s="17">
        <v>7.2814814814814817</v>
      </c>
      <c r="W26" s="17">
        <v>7.7777777777777777</v>
      </c>
      <c r="X26" s="20">
        <v>5.666666666666667</v>
      </c>
      <c r="Y26" s="20">
        <v>8.3000000000000007</v>
      </c>
      <c r="Z26" s="17">
        <f t="shared" si="0"/>
        <v>7.2481481481481493</v>
      </c>
      <c r="AA26" s="20">
        <v>7.5555555555555554</v>
      </c>
      <c r="AB26" s="20">
        <v>5.666666666666667</v>
      </c>
      <c r="AC26" s="20">
        <v>9.9</v>
      </c>
      <c r="AD26" s="17">
        <f t="shared" si="1"/>
        <v>7.7074074074074064</v>
      </c>
    </row>
    <row r="27" spans="1:30">
      <c r="A27" s="36"/>
      <c r="B27" s="8" t="s">
        <v>36</v>
      </c>
      <c r="C27" s="18">
        <v>8.8888888888888893</v>
      </c>
      <c r="D27" s="21">
        <v>4.7777777777777777</v>
      </c>
      <c r="E27" s="21">
        <v>5.8</v>
      </c>
      <c r="F27" s="17">
        <v>6.4888888888888898</v>
      </c>
      <c r="G27" s="21">
        <v>9.3333333333333339</v>
      </c>
      <c r="H27" s="21">
        <v>4.7777777777777777</v>
      </c>
      <c r="I27" s="21">
        <v>7.3</v>
      </c>
      <c r="J27" s="17">
        <v>7.1370370370370368</v>
      </c>
      <c r="K27" s="21">
        <v>8.7777777777777786</v>
      </c>
      <c r="L27" s="21">
        <v>4.8888888888888893</v>
      </c>
      <c r="M27" s="21">
        <v>6.2</v>
      </c>
      <c r="N27" s="17">
        <v>6.6222222222222227</v>
      </c>
      <c r="O27" s="21">
        <v>8.7777777777777786</v>
      </c>
      <c r="P27" s="21">
        <v>4.7777777777777777</v>
      </c>
      <c r="Q27" s="21">
        <v>6.6</v>
      </c>
      <c r="R27" s="17">
        <v>6.7185185185185192</v>
      </c>
      <c r="S27" s="21">
        <v>9</v>
      </c>
      <c r="T27" s="21">
        <v>4.8888888888888893</v>
      </c>
      <c r="U27" s="21">
        <v>9.5</v>
      </c>
      <c r="V27" s="17">
        <v>7.7962962962962967</v>
      </c>
      <c r="W27" s="17">
        <v>8.5555555555555554</v>
      </c>
      <c r="X27" s="21">
        <v>5.1111111111111107</v>
      </c>
      <c r="Y27" s="21">
        <v>9.6</v>
      </c>
      <c r="Z27" s="17">
        <f t="shared" si="0"/>
        <v>7.7555555555555555</v>
      </c>
      <c r="AA27" s="21">
        <v>8.3333333333333339</v>
      </c>
      <c r="AB27" s="21">
        <v>5</v>
      </c>
      <c r="AC27" s="21">
        <v>10</v>
      </c>
      <c r="AD27" s="17">
        <f t="shared" si="1"/>
        <v>7.7777777777777786</v>
      </c>
    </row>
    <row r="28" spans="1:30">
      <c r="A28" s="37"/>
      <c r="B28" s="2" t="s">
        <v>37</v>
      </c>
      <c r="C28" s="19">
        <v>8.4444444444444446</v>
      </c>
      <c r="D28" s="22">
        <v>5</v>
      </c>
      <c r="E28" s="22">
        <v>7.2</v>
      </c>
      <c r="F28" s="17">
        <v>6.8814814814814822</v>
      </c>
      <c r="G28" s="22">
        <v>9</v>
      </c>
      <c r="H28" s="22">
        <v>4.8888888888888893</v>
      </c>
      <c r="I28" s="22">
        <v>6.9</v>
      </c>
      <c r="J28" s="17">
        <v>6.9296296296296305</v>
      </c>
      <c r="K28" s="22">
        <v>8.7777777777777786</v>
      </c>
      <c r="L28" s="22">
        <v>4.7777777777777777</v>
      </c>
      <c r="M28" s="22">
        <v>7.3</v>
      </c>
      <c r="N28" s="17">
        <v>6.9518518518518526</v>
      </c>
      <c r="O28" s="22">
        <v>8.7777777777777786</v>
      </c>
      <c r="P28" s="22">
        <v>4.8888888888888893</v>
      </c>
      <c r="Q28" s="22">
        <v>7.3</v>
      </c>
      <c r="R28" s="17">
        <v>6.9888888888888898</v>
      </c>
      <c r="S28" s="22">
        <v>9.1111111111111107</v>
      </c>
      <c r="T28" s="22">
        <v>5</v>
      </c>
      <c r="U28" s="22">
        <v>7.3</v>
      </c>
      <c r="V28" s="17">
        <v>7.1370370370370368</v>
      </c>
      <c r="W28" s="17">
        <v>8.4444444444444446</v>
      </c>
      <c r="X28" s="22">
        <v>5.1111111111111107</v>
      </c>
      <c r="Y28" s="22">
        <v>7.6</v>
      </c>
      <c r="Z28" s="17">
        <f t="shared" si="0"/>
        <v>7.0518518518518514</v>
      </c>
      <c r="AA28" s="22">
        <v>8.7777777777777786</v>
      </c>
      <c r="AB28" s="22">
        <v>5</v>
      </c>
      <c r="AC28" s="22">
        <v>9</v>
      </c>
      <c r="AD28" s="17">
        <f t="shared" si="1"/>
        <v>7.5925925925925926</v>
      </c>
    </row>
  </sheetData>
  <autoFilter ref="A1:V28" xr:uid="{A948FE5D-C6F0-4EAD-A978-D95A57717E77}"/>
  <mergeCells count="5">
    <mergeCell ref="A2:A8"/>
    <mergeCell ref="A9:A17"/>
    <mergeCell ref="A18:A21"/>
    <mergeCell ref="A22:A25"/>
    <mergeCell ref="A26:A28"/>
  </mergeCells>
  <conditionalFormatting sqref="C2:C28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28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28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I28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8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8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8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M28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8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8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8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Q28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8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28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2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U28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28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2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28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2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Y28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:Z2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2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2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2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2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2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2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B2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B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C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C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Equidade Energética</vt:lpstr>
      <vt:lpstr>Segurança Energética</vt:lpstr>
      <vt:lpstr>Ambiental</vt:lpstr>
      <vt:lpstr>Trilema energético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Antonio</dc:creator>
  <cp:lastModifiedBy>Mônica Abreu</cp:lastModifiedBy>
  <dcterms:created xsi:type="dcterms:W3CDTF">2024-02-26T22:09:01Z</dcterms:created>
  <dcterms:modified xsi:type="dcterms:W3CDTF">2025-08-20T15:31:01Z</dcterms:modified>
</cp:coreProperties>
</file>